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5e4f18057aa5d8/Feedback_MR/Agent_Framework/report_pipeline/data/"/>
    </mc:Choice>
  </mc:AlternateContent>
  <xr:revisionPtr revIDLastSave="0" documentId="13_ncr:1_{BD6C658F-049A-433B-A762-380C4CB0ED65}" xr6:coauthVersionLast="47" xr6:coauthVersionMax="47" xr10:uidLastSave="{00000000-0000-0000-0000-000000000000}"/>
  <bookViews>
    <workbookView xWindow="120" yWindow="3700" windowWidth="17560" windowHeight="11860" activeTab="1" xr2:uid="{DB1ADB49-EC8D-449C-AEE9-E5BE44E99298}"/>
  </bookViews>
  <sheets>
    <sheet name="Original" sheetId="1" r:id="rId1"/>
    <sheet name="Summary" sheetId="2" r:id="rId2"/>
    <sheet name="Services" sheetId="3" r:id="rId3"/>
  </sheets>
  <externalReferences>
    <externalReference r:id="rId4"/>
  </externalReferences>
  <definedNames>
    <definedName name="_xlnm._FilterDatabase" localSheetId="2" hidden="1">Services!$A$1:$D$12</definedName>
    <definedName name="_xlnm._FilterDatabase" localSheetId="1" hidden="1">Summary!$U$48:$W$55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B10" i="3"/>
  <c r="B9" i="3"/>
  <c r="B8" i="3"/>
  <c r="B7" i="3"/>
  <c r="B6" i="3"/>
  <c r="B5" i="3"/>
  <c r="B4" i="3"/>
  <c r="B3" i="3"/>
  <c r="B2" i="3"/>
  <c r="H56" i="2"/>
  <c r="H55" i="2" s="1"/>
  <c r="G56" i="2"/>
  <c r="Y30" i="2" s="1"/>
  <c r="F56" i="2"/>
  <c r="E56" i="2"/>
  <c r="W30" i="2" s="1"/>
  <c r="D56" i="2"/>
  <c r="V30" i="2" s="1"/>
  <c r="C56" i="2"/>
  <c r="U30" i="2" s="1"/>
  <c r="B56" i="2"/>
  <c r="V6" i="2" s="1"/>
  <c r="W55" i="2"/>
  <c r="V55" i="2"/>
  <c r="U55" i="2"/>
  <c r="G55" i="2"/>
  <c r="F55" i="2"/>
  <c r="E55" i="2"/>
  <c r="D55" i="2"/>
  <c r="C55" i="2"/>
  <c r="B55" i="2"/>
  <c r="W54" i="2"/>
  <c r="V54" i="2"/>
  <c r="U54" i="2"/>
  <c r="H54" i="2"/>
  <c r="G54" i="2"/>
  <c r="F54" i="2"/>
  <c r="E54" i="2"/>
  <c r="D54" i="2"/>
  <c r="C54" i="2"/>
  <c r="B54" i="2"/>
  <c r="W53" i="2"/>
  <c r="V53" i="2"/>
  <c r="U53" i="2"/>
  <c r="Q53" i="2"/>
  <c r="P53" i="2"/>
  <c r="O53" i="2"/>
  <c r="N53" i="2"/>
  <c r="M53" i="2"/>
  <c r="L53" i="2"/>
  <c r="K53" i="2"/>
  <c r="H53" i="2"/>
  <c r="G53" i="2"/>
  <c r="F53" i="2"/>
  <c r="E53" i="2"/>
  <c r="D53" i="2"/>
  <c r="C53" i="2"/>
  <c r="B53" i="2"/>
  <c r="W52" i="2"/>
  <c r="V52" i="2"/>
  <c r="U52" i="2"/>
  <c r="Q52" i="2"/>
  <c r="P52" i="2"/>
  <c r="O52" i="2"/>
  <c r="N52" i="2"/>
  <c r="M52" i="2"/>
  <c r="L52" i="2"/>
  <c r="K52" i="2"/>
  <c r="H52" i="2"/>
  <c r="G52" i="2"/>
  <c r="F52" i="2"/>
  <c r="E52" i="2"/>
  <c r="D52" i="2"/>
  <c r="C52" i="2"/>
  <c r="B52" i="2"/>
  <c r="W51" i="2"/>
  <c r="V51" i="2"/>
  <c r="U51" i="2"/>
  <c r="Q51" i="2"/>
  <c r="P51" i="2"/>
  <c r="O51" i="2"/>
  <c r="N51" i="2"/>
  <c r="M51" i="2"/>
  <c r="L51" i="2"/>
  <c r="K51" i="2"/>
  <c r="H51" i="2"/>
  <c r="G51" i="2"/>
  <c r="F51" i="2"/>
  <c r="E51" i="2"/>
  <c r="D51" i="2"/>
  <c r="C51" i="2"/>
  <c r="B51" i="2"/>
  <c r="W50" i="2"/>
  <c r="V50" i="2"/>
  <c r="U50" i="2"/>
  <c r="P50" i="2"/>
  <c r="O50" i="2"/>
  <c r="N50" i="2"/>
  <c r="M50" i="2"/>
  <c r="L50" i="2"/>
  <c r="K50" i="2"/>
  <c r="G50" i="2"/>
  <c r="F50" i="2"/>
  <c r="E50" i="2"/>
  <c r="D50" i="2"/>
  <c r="C50" i="2"/>
  <c r="B50" i="2"/>
  <c r="W49" i="2"/>
  <c r="V49" i="2"/>
  <c r="U49" i="2"/>
  <c r="W47" i="2"/>
  <c r="V47" i="2"/>
  <c r="U47" i="2"/>
  <c r="W46" i="2"/>
  <c r="V46" i="2"/>
  <c r="U46" i="2"/>
  <c r="W45" i="2"/>
  <c r="V45" i="2"/>
  <c r="U45" i="2"/>
  <c r="H45" i="2"/>
  <c r="AG8" i="2" s="1"/>
  <c r="G45" i="2"/>
  <c r="F45" i="2"/>
  <c r="E45" i="2"/>
  <c r="D45" i="2"/>
  <c r="C45" i="2"/>
  <c r="B45" i="2"/>
  <c r="H44" i="2"/>
  <c r="G44" i="2"/>
  <c r="F44" i="2"/>
  <c r="E44" i="2"/>
  <c r="D44" i="2"/>
  <c r="C44" i="2"/>
  <c r="B44" i="2"/>
  <c r="W43" i="2"/>
  <c r="V43" i="2"/>
  <c r="U43" i="2"/>
  <c r="H43" i="2"/>
  <c r="AG6" i="2" s="1"/>
  <c r="G43" i="2"/>
  <c r="F43" i="2"/>
  <c r="E43" i="2"/>
  <c r="D43" i="2"/>
  <c r="C43" i="2"/>
  <c r="B43" i="2"/>
  <c r="W42" i="2"/>
  <c r="V42" i="2"/>
  <c r="U42" i="2"/>
  <c r="H42" i="2"/>
  <c r="AG5" i="2" s="1"/>
  <c r="G42" i="2"/>
  <c r="F42" i="2"/>
  <c r="E42" i="2"/>
  <c r="D42" i="2"/>
  <c r="C42" i="2"/>
  <c r="B42" i="2"/>
  <c r="W41" i="2"/>
  <c r="V41" i="2"/>
  <c r="U41" i="2"/>
  <c r="H41" i="2"/>
  <c r="G41" i="2"/>
  <c r="F41" i="2"/>
  <c r="E41" i="2"/>
  <c r="D41" i="2"/>
  <c r="C41" i="2"/>
  <c r="B41" i="2"/>
  <c r="W40" i="2"/>
  <c r="V40" i="2"/>
  <c r="U40" i="2"/>
  <c r="G40" i="2"/>
  <c r="F40" i="2"/>
  <c r="E40" i="2"/>
  <c r="D40" i="2"/>
  <c r="C40" i="2"/>
  <c r="B40" i="2"/>
  <c r="W39" i="2"/>
  <c r="V39" i="2"/>
  <c r="U39" i="2"/>
  <c r="Q39" i="2"/>
  <c r="P39" i="2"/>
  <c r="Y29" i="2" s="1"/>
  <c r="O39" i="2"/>
  <c r="X29" i="2" s="1"/>
  <c r="N39" i="2"/>
  <c r="W29" i="2" s="1"/>
  <c r="M39" i="2"/>
  <c r="V29" i="2" s="1"/>
  <c r="L39" i="2"/>
  <c r="U29" i="2" s="1"/>
  <c r="K39" i="2"/>
  <c r="V5" i="2" s="1"/>
  <c r="H39" i="2"/>
  <c r="H38" i="2" s="1"/>
  <c r="G39" i="2"/>
  <c r="Y28" i="2" s="1"/>
  <c r="F39" i="2"/>
  <c r="X28" i="2" s="1"/>
  <c r="E39" i="2"/>
  <c r="W28" i="2" s="1"/>
  <c r="D39" i="2"/>
  <c r="V28" i="2" s="1"/>
  <c r="C39" i="2"/>
  <c r="U28" i="2" s="1"/>
  <c r="B39" i="2"/>
  <c r="V4" i="2" s="1"/>
  <c r="W38" i="2"/>
  <c r="V38" i="2"/>
  <c r="U38" i="2"/>
  <c r="Q38" i="2"/>
  <c r="P38" i="2"/>
  <c r="O38" i="2"/>
  <c r="N38" i="2"/>
  <c r="M38" i="2"/>
  <c r="L38" i="2"/>
  <c r="K38" i="2"/>
  <c r="G38" i="2"/>
  <c r="F38" i="2"/>
  <c r="E38" i="2"/>
  <c r="D38" i="2"/>
  <c r="C38" i="2"/>
  <c r="B38" i="2"/>
  <c r="W37" i="2"/>
  <c r="V37" i="2"/>
  <c r="U37" i="2"/>
  <c r="Q37" i="2"/>
  <c r="P37" i="2"/>
  <c r="O37" i="2"/>
  <c r="N37" i="2"/>
  <c r="M37" i="2"/>
  <c r="L37" i="2"/>
  <c r="K37" i="2"/>
  <c r="H37" i="2"/>
  <c r="AG31" i="2" s="1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H36" i="2"/>
  <c r="AG20" i="2" s="1"/>
  <c r="G36" i="2"/>
  <c r="F36" i="2"/>
  <c r="E36" i="2"/>
  <c r="D36" i="2"/>
  <c r="C36" i="2"/>
  <c r="B36" i="2"/>
  <c r="W35" i="2"/>
  <c r="V35" i="2"/>
  <c r="U35" i="2"/>
  <c r="Q35" i="2"/>
  <c r="P35" i="2"/>
  <c r="O35" i="2"/>
  <c r="N35" i="2"/>
  <c r="M35" i="2"/>
  <c r="L35" i="2"/>
  <c r="K35" i="2"/>
  <c r="H35" i="2"/>
  <c r="AG19" i="2" s="1"/>
  <c r="G35" i="2"/>
  <c r="F35" i="2"/>
  <c r="E35" i="2"/>
  <c r="D35" i="2"/>
  <c r="C35" i="2"/>
  <c r="B35" i="2"/>
  <c r="W34" i="2"/>
  <c r="V34" i="2"/>
  <c r="U34" i="2"/>
  <c r="Q34" i="2"/>
  <c r="P34" i="2"/>
  <c r="O34" i="2"/>
  <c r="N34" i="2"/>
  <c r="M34" i="2"/>
  <c r="L34" i="2"/>
  <c r="K34" i="2"/>
  <c r="H34" i="2"/>
  <c r="AG18" i="2" s="1"/>
  <c r="G34" i="2"/>
  <c r="F34" i="2"/>
  <c r="E34" i="2"/>
  <c r="D34" i="2"/>
  <c r="C34" i="2"/>
  <c r="B34" i="2"/>
  <c r="Q33" i="2"/>
  <c r="P33" i="2"/>
  <c r="O33" i="2"/>
  <c r="N33" i="2"/>
  <c r="M33" i="2"/>
  <c r="L33" i="2"/>
  <c r="K33" i="2"/>
  <c r="H33" i="2"/>
  <c r="AG17" i="2" s="1"/>
  <c r="G33" i="2"/>
  <c r="F33" i="2"/>
  <c r="E33" i="2"/>
  <c r="D33" i="2"/>
  <c r="C33" i="2"/>
  <c r="B33" i="2"/>
  <c r="Q32" i="2"/>
  <c r="P32" i="2"/>
  <c r="O32" i="2"/>
  <c r="N32" i="2"/>
  <c r="M32" i="2"/>
  <c r="L32" i="2"/>
  <c r="K32" i="2"/>
  <c r="H32" i="2"/>
  <c r="G32" i="2"/>
  <c r="F32" i="2"/>
  <c r="E32" i="2"/>
  <c r="D32" i="2"/>
  <c r="C32" i="2"/>
  <c r="B32" i="2"/>
  <c r="P31" i="2"/>
  <c r="O31" i="2"/>
  <c r="N31" i="2"/>
  <c r="M31" i="2"/>
  <c r="L31" i="2"/>
  <c r="K31" i="2"/>
  <c r="G31" i="2"/>
  <c r="F31" i="2"/>
  <c r="E31" i="2"/>
  <c r="D31" i="2"/>
  <c r="C31" i="2"/>
  <c r="B31" i="2"/>
  <c r="X30" i="2"/>
  <c r="S30" i="2"/>
  <c r="Q30" i="2"/>
  <c r="P30" i="2"/>
  <c r="O30" i="2"/>
  <c r="N30" i="2"/>
  <c r="M30" i="2"/>
  <c r="L30" i="2"/>
  <c r="K30" i="2"/>
  <c r="H30" i="2"/>
  <c r="AG25" i="2" s="1"/>
  <c r="AG24" i="2" s="1"/>
  <c r="G30" i="2"/>
  <c r="F30" i="2"/>
  <c r="E30" i="2"/>
  <c r="D30" i="2"/>
  <c r="C30" i="2"/>
  <c r="B30" i="2"/>
  <c r="S29" i="2"/>
  <c r="Q29" i="2"/>
  <c r="P29" i="2"/>
  <c r="O29" i="2"/>
  <c r="N29" i="2"/>
  <c r="M29" i="2"/>
  <c r="L29" i="2"/>
  <c r="K29" i="2"/>
  <c r="H29" i="2"/>
  <c r="AG14" i="2" s="1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H28" i="2"/>
  <c r="G28" i="2"/>
  <c r="F28" i="2"/>
  <c r="E28" i="2"/>
  <c r="D28" i="2"/>
  <c r="C28" i="2"/>
  <c r="B28" i="2"/>
  <c r="AD27" i="2"/>
  <c r="AC27" i="2"/>
  <c r="Y27" i="2"/>
  <c r="X27" i="2"/>
  <c r="W27" i="2"/>
  <c r="V27" i="2"/>
  <c r="U27" i="2"/>
  <c r="S27" i="2"/>
  <c r="Q27" i="2"/>
  <c r="P27" i="2"/>
  <c r="O27" i="2"/>
  <c r="N27" i="2"/>
  <c r="M27" i="2"/>
  <c r="L27" i="2"/>
  <c r="K27" i="2"/>
  <c r="H27" i="2"/>
  <c r="AG13" i="2" s="1"/>
  <c r="G27" i="2"/>
  <c r="F27" i="2"/>
  <c r="E27" i="2"/>
  <c r="D27" i="2"/>
  <c r="C27" i="2"/>
  <c r="B27" i="2"/>
  <c r="AG26" i="2"/>
  <c r="Y26" i="2"/>
  <c r="X26" i="2"/>
  <c r="W26" i="2"/>
  <c r="V26" i="2"/>
  <c r="U26" i="2"/>
  <c r="S26" i="2"/>
  <c r="Q26" i="2"/>
  <c r="P26" i="2"/>
  <c r="O26" i="2"/>
  <c r="N26" i="2"/>
  <c r="M26" i="2"/>
  <c r="L26" i="2"/>
  <c r="K26" i="2"/>
  <c r="H26" i="2"/>
  <c r="G26" i="2"/>
  <c r="F26" i="2"/>
  <c r="E26" i="2"/>
  <c r="D26" i="2"/>
  <c r="C26" i="2"/>
  <c r="B26" i="2"/>
  <c r="P25" i="2"/>
  <c r="O25" i="2"/>
  <c r="N25" i="2"/>
  <c r="M25" i="2"/>
  <c r="L25" i="2"/>
  <c r="K25" i="2"/>
  <c r="G25" i="2"/>
  <c r="F25" i="2"/>
  <c r="E25" i="2"/>
  <c r="D25" i="2"/>
  <c r="C25" i="2"/>
  <c r="B25" i="2"/>
  <c r="X23" i="2"/>
  <c r="W23" i="2"/>
  <c r="V23" i="2"/>
  <c r="Y21" i="2"/>
  <c r="X21" i="2"/>
  <c r="W21" i="2"/>
  <c r="V21" i="2"/>
  <c r="X20" i="2"/>
  <c r="W20" i="2"/>
  <c r="V20" i="2"/>
  <c r="Q20" i="2"/>
  <c r="AD33" i="2" s="1"/>
  <c r="P20" i="2"/>
  <c r="O20" i="2"/>
  <c r="N20" i="2"/>
  <c r="M20" i="2"/>
  <c r="L20" i="2"/>
  <c r="K20" i="2"/>
  <c r="V2" i="2" s="1"/>
  <c r="H20" i="2"/>
  <c r="AC33" i="2" s="1"/>
  <c r="G20" i="2"/>
  <c r="F20" i="2"/>
  <c r="E20" i="2"/>
  <c r="D20" i="2"/>
  <c r="C20" i="2"/>
  <c r="B20" i="2"/>
  <c r="V3" i="2" s="1"/>
  <c r="X19" i="2"/>
  <c r="W19" i="2"/>
  <c r="V19" i="2"/>
  <c r="P19" i="2"/>
  <c r="O19" i="2"/>
  <c r="N19" i="2"/>
  <c r="M19" i="2"/>
  <c r="L19" i="2"/>
  <c r="K19" i="2"/>
  <c r="G19" i="2"/>
  <c r="F19" i="2"/>
  <c r="E19" i="2"/>
  <c r="D19" i="2"/>
  <c r="C19" i="2"/>
  <c r="B19" i="2"/>
  <c r="Y18" i="2"/>
  <c r="X18" i="2"/>
  <c r="W18" i="2"/>
  <c r="V18" i="2"/>
  <c r="Q18" i="2"/>
  <c r="AD16" i="2" s="1"/>
  <c r="P18" i="2"/>
  <c r="O18" i="2"/>
  <c r="N18" i="2"/>
  <c r="M18" i="2"/>
  <c r="L18" i="2"/>
  <c r="K18" i="2"/>
  <c r="H18" i="2"/>
  <c r="H17" i="2" s="1"/>
  <c r="G18" i="2"/>
  <c r="F18" i="2"/>
  <c r="E18" i="2"/>
  <c r="D18" i="2"/>
  <c r="C18" i="2"/>
  <c r="B18" i="2"/>
  <c r="X17" i="2"/>
  <c r="W17" i="2"/>
  <c r="V17" i="2"/>
  <c r="P17" i="2"/>
  <c r="O17" i="2"/>
  <c r="N17" i="2"/>
  <c r="M17" i="2"/>
  <c r="L17" i="2"/>
  <c r="K17" i="2"/>
  <c r="G17" i="2"/>
  <c r="F17" i="2"/>
  <c r="E17" i="2"/>
  <c r="D17" i="2"/>
  <c r="C17" i="2"/>
  <c r="B17" i="2"/>
  <c r="Y16" i="2"/>
  <c r="X16" i="2"/>
  <c r="W16" i="2"/>
  <c r="V16" i="2"/>
  <c r="U16" i="2"/>
  <c r="Q16" i="2"/>
  <c r="AD15" i="2" s="1"/>
  <c r="P16" i="2"/>
  <c r="O16" i="2"/>
  <c r="N16" i="2"/>
  <c r="M16" i="2"/>
  <c r="L16" i="2"/>
  <c r="K16" i="2"/>
  <c r="H16" i="2"/>
  <c r="AC15" i="2" s="1"/>
  <c r="G16" i="2"/>
  <c r="F16" i="2"/>
  <c r="E16" i="2"/>
  <c r="D16" i="2"/>
  <c r="C16" i="2"/>
  <c r="B16" i="2"/>
  <c r="P15" i="2"/>
  <c r="O15" i="2"/>
  <c r="N15" i="2"/>
  <c r="M15" i="2"/>
  <c r="L15" i="2"/>
  <c r="K15" i="2"/>
  <c r="H15" i="2"/>
  <c r="G15" i="2"/>
  <c r="F15" i="2"/>
  <c r="E15" i="2"/>
  <c r="D15" i="2"/>
  <c r="C15" i="2"/>
  <c r="B15" i="2"/>
  <c r="Q14" i="2"/>
  <c r="P14" i="2"/>
  <c r="O14" i="2"/>
  <c r="N14" i="2"/>
  <c r="M14" i="2"/>
  <c r="L14" i="2"/>
  <c r="K14" i="2"/>
  <c r="H14" i="2"/>
  <c r="G14" i="2"/>
  <c r="F14" i="2"/>
  <c r="E14" i="2"/>
  <c r="D14" i="2"/>
  <c r="C14" i="2"/>
  <c r="B14" i="2"/>
  <c r="Q13" i="2"/>
  <c r="AD26" i="2" s="1"/>
  <c r="P13" i="2"/>
  <c r="O13" i="2"/>
  <c r="N13" i="2"/>
  <c r="M13" i="2"/>
  <c r="L13" i="2"/>
  <c r="K13" i="2"/>
  <c r="H13" i="2"/>
  <c r="AC26" i="2" s="1"/>
  <c r="G13" i="2"/>
  <c r="F13" i="2"/>
  <c r="E13" i="2"/>
  <c r="D13" i="2"/>
  <c r="C13" i="2"/>
  <c r="B13" i="2"/>
  <c r="AG12" i="2"/>
  <c r="Q12" i="2"/>
  <c r="AD14" i="2" s="1"/>
  <c r="P12" i="2"/>
  <c r="O12" i="2"/>
  <c r="N12" i="2"/>
  <c r="M12" i="2"/>
  <c r="L12" i="2"/>
  <c r="K12" i="2"/>
  <c r="H12" i="2"/>
  <c r="AC14" i="2" s="1"/>
  <c r="G12" i="2"/>
  <c r="F12" i="2"/>
  <c r="E12" i="2"/>
  <c r="D12" i="2"/>
  <c r="C12" i="2"/>
  <c r="B12" i="2"/>
  <c r="Q11" i="2"/>
  <c r="AD13" i="2" s="1"/>
  <c r="P11" i="2"/>
  <c r="O11" i="2"/>
  <c r="N11" i="2"/>
  <c r="M11" i="2"/>
  <c r="L11" i="2"/>
  <c r="K11" i="2"/>
  <c r="H11" i="2"/>
  <c r="AC13" i="2" s="1"/>
  <c r="G11" i="2"/>
  <c r="F11" i="2"/>
  <c r="E11" i="2"/>
  <c r="D11" i="2"/>
  <c r="C11" i="2"/>
  <c r="B11" i="2"/>
  <c r="Q10" i="2"/>
  <c r="AD31" i="2" s="1"/>
  <c r="P10" i="2"/>
  <c r="O10" i="2"/>
  <c r="N10" i="2"/>
  <c r="M10" i="2"/>
  <c r="L10" i="2"/>
  <c r="K10" i="2"/>
  <c r="H10" i="2"/>
  <c r="AC31" i="2" s="1"/>
  <c r="G10" i="2"/>
  <c r="F10" i="2"/>
  <c r="E10" i="2"/>
  <c r="D10" i="2"/>
  <c r="C10" i="2"/>
  <c r="B10" i="2"/>
  <c r="P9" i="2"/>
  <c r="O9" i="2"/>
  <c r="N9" i="2"/>
  <c r="M9" i="2"/>
  <c r="L9" i="2"/>
  <c r="K9" i="2"/>
  <c r="G9" i="2"/>
  <c r="F9" i="2"/>
  <c r="E9" i="2"/>
  <c r="D9" i="2"/>
  <c r="C9" i="2"/>
  <c r="B9" i="2"/>
  <c r="Y8" i="2"/>
  <c r="X8" i="2"/>
  <c r="Q8" i="2"/>
  <c r="AD25" i="2" s="1"/>
  <c r="AD24" i="2" s="1"/>
  <c r="V13" i="2" s="1"/>
  <c r="P8" i="2"/>
  <c r="O8" i="2"/>
  <c r="N8" i="2"/>
  <c r="M8" i="2"/>
  <c r="L8" i="2"/>
  <c r="K8" i="2"/>
  <c r="H8" i="2"/>
  <c r="AC5" i="2" s="1"/>
  <c r="G8" i="2"/>
  <c r="F8" i="2"/>
  <c r="E8" i="2"/>
  <c r="D8" i="2"/>
  <c r="C8" i="2"/>
  <c r="B8" i="2"/>
  <c r="AG7" i="2"/>
  <c r="P7" i="2"/>
  <c r="O7" i="2"/>
  <c r="N7" i="2"/>
  <c r="M7" i="2"/>
  <c r="L7" i="2"/>
  <c r="K7" i="2"/>
  <c r="G7" i="2"/>
  <c r="F7" i="2"/>
  <c r="E7" i="2"/>
  <c r="D7" i="2"/>
  <c r="C7" i="2"/>
  <c r="B7" i="2"/>
  <c r="Y6" i="2"/>
  <c r="X6" i="2"/>
  <c r="Q6" i="2"/>
  <c r="AD4" i="2" s="1"/>
  <c r="P6" i="2"/>
  <c r="O6" i="2"/>
  <c r="N6" i="2"/>
  <c r="M6" i="2"/>
  <c r="L6" i="2"/>
  <c r="K6" i="2"/>
  <c r="H6" i="2"/>
  <c r="AC4" i="2" s="1"/>
  <c r="G6" i="2"/>
  <c r="F6" i="2"/>
  <c r="E6" i="2"/>
  <c r="D6" i="2"/>
  <c r="C6" i="2"/>
  <c r="B6" i="2"/>
  <c r="Y5" i="2"/>
  <c r="X5" i="2"/>
  <c r="W5" i="2"/>
  <c r="Q5" i="2"/>
  <c r="AD12" i="2" s="1"/>
  <c r="P5" i="2"/>
  <c r="O5" i="2"/>
  <c r="N5" i="2"/>
  <c r="M5" i="2"/>
  <c r="L5" i="2"/>
  <c r="K5" i="2"/>
  <c r="H5" i="2"/>
  <c r="AC12" i="2" s="1"/>
  <c r="G5" i="2"/>
  <c r="F5" i="2"/>
  <c r="E5" i="2"/>
  <c r="D5" i="2"/>
  <c r="C5" i="2"/>
  <c r="B5" i="2"/>
  <c r="Y4" i="2"/>
  <c r="X4" i="2"/>
  <c r="Q4" i="2"/>
  <c r="P4" i="2"/>
  <c r="O4" i="2"/>
  <c r="N4" i="2"/>
  <c r="M4" i="2"/>
  <c r="L4" i="2"/>
  <c r="K4" i="2"/>
  <c r="H4" i="2"/>
  <c r="G4" i="2"/>
  <c r="F4" i="2"/>
  <c r="E4" i="2"/>
  <c r="D4" i="2"/>
  <c r="C4" i="2"/>
  <c r="B4" i="2"/>
  <c r="Y3" i="2"/>
  <c r="X3" i="2"/>
  <c r="P3" i="2"/>
  <c r="O3" i="2"/>
  <c r="N3" i="2"/>
  <c r="M3" i="2"/>
  <c r="L3" i="2"/>
  <c r="K3" i="2"/>
  <c r="G3" i="2"/>
  <c r="F3" i="2"/>
  <c r="E3" i="2"/>
  <c r="D3" i="2"/>
  <c r="C3" i="2"/>
  <c r="B3" i="2"/>
  <c r="Y2" i="2"/>
  <c r="X2" i="2"/>
  <c r="V146" i="1"/>
  <c r="W6" i="2" s="1"/>
  <c r="V145" i="1"/>
  <c r="Y17" i="2" s="1"/>
  <c r="V144" i="1"/>
  <c r="W3" i="2" s="1"/>
  <c r="V143" i="1"/>
  <c r="W4" i="2" s="1"/>
  <c r="V142" i="1"/>
  <c r="Y20" i="2" s="1"/>
  <c r="V141" i="1"/>
  <c r="Y23" i="2" s="1"/>
  <c r="B140" i="1"/>
  <c r="D134" i="1"/>
  <c r="D131" i="1"/>
  <c r="D122" i="1"/>
  <c r="D115" i="1"/>
  <c r="D111" i="1"/>
  <c r="D99" i="1"/>
  <c r="D87" i="1"/>
  <c r="D78" i="1"/>
  <c r="D69" i="1"/>
  <c r="D65" i="1"/>
  <c r="D61" i="1"/>
  <c r="D57" i="1"/>
  <c r="D53" i="1"/>
  <c r="D48" i="1"/>
  <c r="D43" i="1"/>
  <c r="D35" i="1"/>
  <c r="D27" i="1"/>
  <c r="D22" i="1"/>
  <c r="D17" i="1"/>
  <c r="D9" i="1"/>
  <c r="D1" i="1"/>
  <c r="H50" i="2" l="1"/>
  <c r="H40" i="2"/>
  <c r="Q31" i="2"/>
  <c r="Q17" i="2"/>
  <c r="AD32" i="2"/>
  <c r="H3" i="2"/>
  <c r="Q25" i="2"/>
  <c r="AC32" i="2"/>
  <c r="AC30" i="2" s="1"/>
  <c r="W14" i="2" s="1"/>
  <c r="H19" i="2"/>
  <c r="AG4" i="2"/>
  <c r="AG3" i="2" s="1"/>
  <c r="X11" i="2" s="1"/>
  <c r="Q7" i="2"/>
  <c r="H57" i="2"/>
  <c r="H25" i="2"/>
  <c r="H31" i="2"/>
  <c r="H46" i="2" s="1"/>
  <c r="AD5" i="2"/>
  <c r="Q3" i="2"/>
  <c r="AD30" i="2"/>
  <c r="V14" i="2" s="1"/>
  <c r="Q54" i="2"/>
  <c r="AD3" i="2"/>
  <c r="V11" i="2" s="1"/>
  <c r="U21" i="2"/>
  <c r="U6" i="2"/>
  <c r="X13" i="2"/>
  <c r="Q40" i="2"/>
  <c r="V8" i="2"/>
  <c r="AD11" i="2"/>
  <c r="V12" i="2" s="1"/>
  <c r="AC3" i="2"/>
  <c r="W11" i="2" s="1"/>
  <c r="Q50" i="2"/>
  <c r="H9" i="2"/>
  <c r="Q15" i="2"/>
  <c r="AC16" i="2"/>
  <c r="AC11" i="2" s="1"/>
  <c r="W12" i="2" s="1"/>
  <c r="W8" i="2"/>
  <c r="Y19" i="2"/>
  <c r="AG15" i="2"/>
  <c r="W2" i="2"/>
  <c r="H7" i="2"/>
  <c r="AG16" i="2"/>
  <c r="AC25" i="2"/>
  <c r="AC24" i="2" s="1"/>
  <c r="W13" i="2" s="1"/>
  <c r="Q9" i="2"/>
  <c r="AG32" i="2"/>
  <c r="AG30" i="2" s="1"/>
  <c r="S28" i="2"/>
  <c r="Q19" i="2"/>
  <c r="AG11" i="2" l="1"/>
  <c r="H21" i="2"/>
  <c r="U18" i="2" s="1"/>
  <c r="AB3" i="2"/>
  <c r="U11" i="2" s="1"/>
  <c r="Q21" i="2"/>
  <c r="U2" i="2" s="1"/>
  <c r="AB24" i="2"/>
  <c r="U13" i="2" s="1"/>
  <c r="AB11" i="2"/>
  <c r="U12" i="2" s="1"/>
  <c r="X12" i="2"/>
  <c r="U20" i="2"/>
  <c r="U5" i="2"/>
  <c r="X14" i="2"/>
  <c r="AB30" i="2"/>
  <c r="U14" i="2" s="1"/>
  <c r="U19" i="2"/>
  <c r="U4" i="2"/>
  <c r="U17" i="2" l="1"/>
  <c r="U3" i="2"/>
  <c r="U8" i="2" s="1"/>
</calcChain>
</file>

<file path=xl/sharedStrings.xml><?xml version="1.0" encoding="utf-8"?>
<sst xmlns="http://schemas.openxmlformats.org/spreadsheetml/2006/main" count="1208" uniqueCount="303">
  <si>
    <t xml:space="preserve">A2. SUMMARY:[Website] Rate your agreement on statements related to Accessibility Service. </t>
  </si>
  <si>
    <t>Base: Who used Website</t>
  </si>
  <si>
    <t>Strongly Agree</t>
  </si>
  <si>
    <t>Agree</t>
  </si>
  <si>
    <t>Neutral</t>
  </si>
  <si>
    <t>Disagree</t>
  </si>
  <si>
    <t>Strongly Disagree</t>
  </si>
  <si>
    <t>Total</t>
  </si>
  <si>
    <t>Average</t>
  </si>
  <si>
    <t>T2B (4+5)</t>
  </si>
  <si>
    <t>A2. SUMMARY:[Website] Rate your agreement on statements related to Accessibility Service.</t>
  </si>
  <si>
    <t>It was easy to find the Ministry of Health and Prevention (MOHAP) contact number, website, or mobile app</t>
  </si>
  <si>
    <t xml:space="preserve">- </t>
  </si>
  <si>
    <t>____</t>
  </si>
  <si>
    <t>It is easy to find the service information</t>
  </si>
  <si>
    <t>There are several channels to facilitate service information access and delivery</t>
  </si>
  <si>
    <t>The website/mobile app is free of errors or technical problems</t>
  </si>
  <si>
    <t>The process was efficient, and I was not required to provide the same information more than once.</t>
  </si>
  <si>
    <t>It is easy to find and access MOHAP’s contact information and service details through different channels.</t>
  </si>
  <si>
    <t xml:space="preserve">A2. SUMMARY:[Mobile App] Rate your agreement on statements related to Accessibility Service. </t>
  </si>
  <si>
    <t>Base: Who used Mobile channel</t>
  </si>
  <si>
    <t>A2. SUMMARY:[Mobile App] Rate your agreement on statements related to Accessibility Service.</t>
  </si>
  <si>
    <t xml:space="preserve">A4A. SUMMARY:[Website] Rate your agreement on statements related to Information quality of Service </t>
  </si>
  <si>
    <t>#.A4A. SUMMARY:[Website] Rate your agreement on statements related to Information quality of Service</t>
  </si>
  <si>
    <t>The information obtained through service stages is clear and useful (email/SMS)</t>
  </si>
  <si>
    <t>I received adequate notifications throughout all stages of the service delivery</t>
  </si>
  <si>
    <t>The notifications and information received via email/SMS throughout all stages were clear, useful, and adequate</t>
  </si>
  <si>
    <t xml:space="preserve">A4A. SUMMARY:[Mobile App] Rate your agreement on statements related to Information quality of Service </t>
  </si>
  <si>
    <t>Base: Who used Mobile App</t>
  </si>
  <si>
    <t>#.A4A. SUMMARY:[Mobile App] Rate your agreement on statements related to Information quality of Service</t>
  </si>
  <si>
    <t xml:space="preserve">A6. SUMMARY:[Website] Rate your agreement on statements related to Ease of use Service. </t>
  </si>
  <si>
    <t>Base: Who used Website [Excluded NA]</t>
  </si>
  <si>
    <t>#.A6. SUMMARY:[Website] Rate your agreement on statements related to Ease of use Service.</t>
  </si>
  <si>
    <t>Ease of use Service: It is easy to make a payment for the service</t>
  </si>
  <si>
    <t>Ease of use Service: In general, the service procedures are simple and easy</t>
  </si>
  <si>
    <t>Ease of use Service: Service interface is appealing and user-friendly (Website &amp; Mobile app)</t>
  </si>
  <si>
    <t>Ease of use Service: Ease of tracking the status of your request</t>
  </si>
  <si>
    <t>Ease of use Service: Ease of accessing technical support if needed</t>
  </si>
  <si>
    <t>Ease of use Service: The service provided exceeded my expectations (in terms of ease, speed, accuracy, etc.).</t>
  </si>
  <si>
    <t xml:space="preserve">A6. SUMMARY:[Mobile App] Rate your agreement on statements related to Ease of use Service. </t>
  </si>
  <si>
    <t>Base: Who used Mobile App [Excluded NA]</t>
  </si>
  <si>
    <t>#.A6. SUMMARY:[Mobile App] Rate your agreement on statements related to Ease of use Service.</t>
  </si>
  <si>
    <t xml:space="preserve">A8. SUMMARY:[Website] Rate your agreement on statements related to Speed of service delivery </t>
  </si>
  <si>
    <t>Base: Who used Website[Excluded NA]</t>
  </si>
  <si>
    <t>#.A8. SUMMARY:[Website] Rate your agreement on statements related to Speed of service delivery</t>
  </si>
  <si>
    <t>Speed of service delivery - Submitting a service request, including filling out the required form, was completed within a reasonable time</t>
  </si>
  <si>
    <t>Speed of service delivery - The service was received within a reasonable time</t>
  </si>
  <si>
    <t>Speed of service delivery - Submitting the service request and receiving the service were completed within a reasonable time.</t>
  </si>
  <si>
    <t xml:space="preserve">A8. SUMMARY:[Mobile App] Rate your agreement on statements related to Speed of service delivery </t>
  </si>
  <si>
    <t>#.A8. SUMMARY:[Mobile App] Rate your agreement on statements related to Speed of service delivery</t>
  </si>
  <si>
    <t xml:space="preserve">A10. SUMMARY: [Website] Rate your agreement on statements related to customer privacy </t>
  </si>
  <si>
    <t>#.A10. SUMMARY: [Website] Rate your agreement on statements related to customer privacy</t>
  </si>
  <si>
    <t>I am sure that my personal information provided to the Ministry of Health and Prevention (MOHAP) will remain confidential</t>
  </si>
  <si>
    <t>Payment method provided by Ministry of Health and Prevention (MOHAP) is secure</t>
  </si>
  <si>
    <t xml:space="preserve">A10. SUMMARY: [Mobile App] Rate your agreement on statements related to customer privacy </t>
  </si>
  <si>
    <t>#.A10. SUMMARY: [Mobile App] Rate your agreement on statements related to customer privacy</t>
  </si>
  <si>
    <t xml:space="preserve">A12. Please rate your overall happiness with the service </t>
  </si>
  <si>
    <t>Base: Who used Website/Mobile channel</t>
  </si>
  <si>
    <t>Very Happy</t>
  </si>
  <si>
    <t>Happy</t>
  </si>
  <si>
    <t>Unhappy</t>
  </si>
  <si>
    <t>Very Unhappy</t>
  </si>
  <si>
    <t>Website</t>
  </si>
  <si>
    <t>Mobile app</t>
  </si>
  <si>
    <t xml:space="preserve">A14. Overall, how easy was it to complete your request for this service? </t>
  </si>
  <si>
    <t>Very Easy</t>
  </si>
  <si>
    <t>Easy</t>
  </si>
  <si>
    <t>Difficult</t>
  </si>
  <si>
    <t>Very Difficult</t>
  </si>
  <si>
    <t xml:space="preserve">B1. SUMMARY: [Call center] Rate your agreement on statements related to your interaction with the staff </t>
  </si>
  <si>
    <t>Base: Who used Call center</t>
  </si>
  <si>
    <t>#.B1. SUMMARY: [Call center] Rate your agreement on statements related to your interaction with the staff</t>
  </si>
  <si>
    <t>I was welcomed and provided with the necessary assistance</t>
  </si>
  <si>
    <t>Sufficient information was given</t>
  </si>
  <si>
    <t>There was a sense of elegance and politeness in the interaction.</t>
  </si>
  <si>
    <t>There was active listening and attentiveness</t>
  </si>
  <si>
    <t>I was treated with respect &amp; appreciation, reflecting an interaction characterized by politeness</t>
  </si>
  <si>
    <t>The employee demonstrated active listening and attentiveness, and showed a clear understanding of my request and the challenges I faced</t>
  </si>
  <si>
    <t xml:space="preserve">B1. SUMMARY: [Customer service center] Rate your agreement on statements related to your interaction with the staff </t>
  </si>
  <si>
    <t>Base: Who used Customer service center</t>
  </si>
  <si>
    <t>#.B1. SUMMARY: [Customer service center] Rate your agreement on statements related to your interaction with the staff</t>
  </si>
  <si>
    <t xml:space="preserve">B3.[Call center] Rate your agreement on statements related to the staff you interacted with </t>
  </si>
  <si>
    <t>Base: Who used Call Center [Excluded NA]</t>
  </si>
  <si>
    <t>B3.[Call center] Rate your agreement on statements related to the staff you interacted with</t>
  </si>
  <si>
    <t>The customer service center employee understood your request and the challenges you faced.</t>
  </si>
  <si>
    <t>Using clear and easy-to-understand language</t>
  </si>
  <si>
    <t>Handling your request efficiently</t>
  </si>
  <si>
    <t>Treated you with courtesy and respect</t>
  </si>
  <si>
    <t>Fairness in dealing</t>
  </si>
  <si>
    <t>Made an extra effort to help</t>
  </si>
  <si>
    <t>Flexibility in dealing</t>
  </si>
  <si>
    <t>Knowledge and reliability in their dealing</t>
  </si>
  <si>
    <t>The service provided by the staff exceeded my expectations (in terms of ease, speed, accuracy, etc</t>
  </si>
  <si>
    <t>The employees worked together as a team to ensure my satisfaction (in case I interacted with more</t>
  </si>
  <si>
    <t xml:space="preserve">B3.[Service center] Rate your agreement on statements related to the staff you interacted with </t>
  </si>
  <si>
    <t>Base: Who used Service center [Excluded NA]</t>
  </si>
  <si>
    <t>B3.[Service center] Rate your agreement on statements related to the staff you interacted with</t>
  </si>
  <si>
    <t>The call center employee understood your request and the challenges you faced.</t>
  </si>
  <si>
    <t xml:space="preserve">B5. Please rate your overall happiness with your interaction with the STAFF using a 5 point scale, where 5=very happy/ 4=happy/ 3=neutral/ 2 =unhappy/ 1=very unhappy </t>
  </si>
  <si>
    <t>Base: Who used Call Center/ Customer service center</t>
  </si>
  <si>
    <t>Call Center</t>
  </si>
  <si>
    <t>Customer service center</t>
  </si>
  <si>
    <t xml:space="preserve">D1. SUMMARY: Rate your agreement on statements related to the center you visited </t>
  </si>
  <si>
    <t>Base: Who used Customer service center [Excluded NA]</t>
  </si>
  <si>
    <t>D1. SUMMARY: Rate your agreement on statements related to the center you visited</t>
  </si>
  <si>
    <t>Easy of reaching the location using navigation maps</t>
  </si>
  <si>
    <t>Availability of adequate parking for customer</t>
  </si>
  <si>
    <t>Adequate and visible signages</t>
  </si>
  <si>
    <t>The branch provides ample facilities  (prayer room, restrooms, vending machines…..)</t>
  </si>
  <si>
    <t>The self-service options (such as kiosk, website, and smart apps) were easy to use and helpful.</t>
  </si>
  <si>
    <t xml:space="preserve">C3.SUMMARY: Rate your agreement on statements related to the email response you received </t>
  </si>
  <si>
    <t>Base: Email- Who receive a response to his inquiry within 24 hours/ To his complaint within 5 working days</t>
  </si>
  <si>
    <t>C3. Rate your agreement on statements related to the email response you received</t>
  </si>
  <si>
    <t>Appropriate salutation used in the e-mail. (e.g. Mr. /Ms.  your name)</t>
  </si>
  <si>
    <t>Language used in the email was clear, and simple</t>
  </si>
  <si>
    <t>All your queries were answered</t>
  </si>
  <si>
    <t>The response was free of spelling and grammatical errors</t>
  </si>
  <si>
    <t>Response contained Thank you message</t>
  </si>
  <si>
    <t>The service provided exceeded my expectations (in terms of ease, speed, accuracy, etc.).</t>
  </si>
  <si>
    <t>The email used clear, simple language and was free of spelling and grammatical errors</t>
  </si>
  <si>
    <t xml:space="preserve">C5. Please rate your overall happiness with the email response you received using a 5 point scale, </t>
  </si>
  <si>
    <t>Base: Who used Email</t>
  </si>
  <si>
    <t>Email</t>
  </si>
  <si>
    <t xml:space="preserve">E2. SUMMARY: Rate your agreement on statements related to the complaint handling process </t>
  </si>
  <si>
    <t>Base: Who used complaint service</t>
  </si>
  <si>
    <t>E2. SUMMARY: Rate your agreement on statements related to the complaint handling process</t>
  </si>
  <si>
    <t>It was easy to file the complaint</t>
  </si>
  <si>
    <t>The staff understood my needs/questions.</t>
  </si>
  <si>
    <t>The complaint was resolved in a timely manner</t>
  </si>
  <si>
    <t>The complaint resolution was satisfactory</t>
  </si>
  <si>
    <t xml:space="preserve">A16. Based on your recent experience with the Ministry of Health and Prevention (MOHAP), how likely are you to recommend their services? </t>
  </si>
  <si>
    <t>Base: All respondents</t>
  </si>
  <si>
    <t>0 Not likely at all</t>
  </si>
  <si>
    <t>10 Extremely likely</t>
  </si>
  <si>
    <t>Promoter</t>
  </si>
  <si>
    <t>Passive</t>
  </si>
  <si>
    <t>detractors</t>
  </si>
  <si>
    <t>NPS</t>
  </si>
  <si>
    <t>Abu Dhabi</t>
  </si>
  <si>
    <t>Dubai</t>
  </si>
  <si>
    <t>Sharjah</t>
  </si>
  <si>
    <t>Ajman</t>
  </si>
  <si>
    <t>Umm Al Quwain</t>
  </si>
  <si>
    <t>Ras Al-Khaimah</t>
  </si>
  <si>
    <t>Fujairah</t>
  </si>
  <si>
    <t>Applying for a service</t>
  </si>
  <si>
    <t>Inquiry</t>
  </si>
  <si>
    <t>Suggestion</t>
  </si>
  <si>
    <t>Follow-up</t>
  </si>
  <si>
    <t>Appreciation</t>
  </si>
  <si>
    <t>Complaint</t>
  </si>
  <si>
    <t>Male</t>
  </si>
  <si>
    <t>Female</t>
  </si>
  <si>
    <t>UAE National</t>
  </si>
  <si>
    <t>GCC National</t>
  </si>
  <si>
    <t>African Expat</t>
  </si>
  <si>
    <t>Arab Expat</t>
  </si>
  <si>
    <t>Asian Expat</t>
  </si>
  <si>
    <t>Westerner Expat</t>
  </si>
  <si>
    <t>Others</t>
  </si>
  <si>
    <t>Children category (under 18 years old)</t>
  </si>
  <si>
    <t>Youth category (from 18 to 30 years old)</t>
  </si>
  <si>
    <t>Adult category (from 30 to 60 years old)</t>
  </si>
  <si>
    <t>Elder category (over 60 years old)</t>
  </si>
  <si>
    <t>Single</t>
  </si>
  <si>
    <t>Married with no children</t>
  </si>
  <si>
    <t>Married with Children</t>
  </si>
  <si>
    <t>Divorced</t>
  </si>
  <si>
    <t>Widow(ed)</t>
  </si>
  <si>
    <t>Refused</t>
  </si>
  <si>
    <t>Undergraduates and Higher</t>
  </si>
  <si>
    <t>High School Graduate and Diploma</t>
  </si>
  <si>
    <t>Less than high school</t>
  </si>
  <si>
    <t>Employee – Private Sector</t>
  </si>
  <si>
    <t>Employee – Government/Seme Government Sector</t>
  </si>
  <si>
    <t>Self-employed/Professional</t>
  </si>
  <si>
    <t>Businessman/Trader</t>
  </si>
  <si>
    <t>Retired</t>
  </si>
  <si>
    <t>Student</t>
  </si>
  <si>
    <t>Job Seeker</t>
  </si>
  <si>
    <t>Housewife</t>
  </si>
  <si>
    <t>Unemployed</t>
  </si>
  <si>
    <t>Ras Al Khaimah</t>
  </si>
  <si>
    <t xml:space="preserve">Overall Satiufcation (A12+B5+C5) </t>
  </si>
  <si>
    <t>Home</t>
  </si>
  <si>
    <t xml:space="preserve">X14. Overall, was the service worth the time, effort, and fees paid for it? </t>
  </si>
  <si>
    <t>Base: Start from May-2025</t>
  </si>
  <si>
    <t xml:space="preserve"> </t>
  </si>
  <si>
    <t xml:space="preserve">Y14. Overall, I trust the ministry providing this service." </t>
  </si>
  <si>
    <t>Update the numbers here</t>
  </si>
  <si>
    <t>#</t>
  </si>
  <si>
    <t xml:space="preserve">Overall </t>
  </si>
  <si>
    <t>Satisfaction</t>
  </si>
  <si>
    <t>Sample</t>
  </si>
  <si>
    <t>Trust</t>
  </si>
  <si>
    <t>Value</t>
  </si>
  <si>
    <t xml:space="preserve">Customer Jouney </t>
  </si>
  <si>
    <t>Website - Summry Table</t>
  </si>
  <si>
    <t>Count</t>
  </si>
  <si>
    <t>%</t>
  </si>
  <si>
    <t>Mobile App - Summry Table</t>
  </si>
  <si>
    <t>Mobile App</t>
  </si>
  <si>
    <t>Overall</t>
  </si>
  <si>
    <t xml:space="preserve">Website </t>
  </si>
  <si>
    <t xml:space="preserve">Mobile App </t>
  </si>
  <si>
    <t xml:space="preserve">Customer Service Center </t>
  </si>
  <si>
    <t xml:space="preserve">A2. Rate your agreement on statements related to Accessibility Service. </t>
  </si>
  <si>
    <t>Getting service information</t>
  </si>
  <si>
    <t xml:space="preserve">A2D. Accessibility - The website/mobile app is free of errors or technical problems </t>
  </si>
  <si>
    <t>Customer Service Center</t>
  </si>
  <si>
    <t xml:space="preserve">A2F. Accessibility - It is easy to find and access MOHAP’s contact information and service details through different channels. </t>
  </si>
  <si>
    <t xml:space="preserve">D1A. Rate of agreement related to the center - Easy of reaching the location using navigation maps </t>
  </si>
  <si>
    <t xml:space="preserve">A2E. Accessibility - The process was efficient, and I was not required to provide the same information more than once. </t>
  </si>
  <si>
    <t xml:space="preserve">A4C. Information quality: The notifications and information received via email/SMS throughout all stages were clear, useful, and adequate </t>
  </si>
  <si>
    <t xml:space="preserve">D1B. Rate of agreement related to the center - Availability of adequate parking for customer </t>
  </si>
  <si>
    <t xml:space="preserve">D1C. Rate of agreement related to the center - Adequate and visible signages </t>
  </si>
  <si>
    <t xml:space="preserve">A4A. Rate your agreement on statements related to Information quality of Service </t>
  </si>
  <si>
    <t xml:space="preserve">D1D. Rate of agreement related to the center - The branch provides ample facilities  (prayer room, restrooms, vending machines…..) </t>
  </si>
  <si>
    <t>MOHAP Overall</t>
  </si>
  <si>
    <t xml:space="preserve">D1E. Rate of agreement related to the center - The self-service options (such as kiosk, website, and smart apps) were easy to use and helpful. </t>
  </si>
  <si>
    <t xml:space="preserve">A6. Rate your agreement on statements related to Ease of use Service. </t>
  </si>
  <si>
    <t xml:space="preserve">A6A. Ease of use Service: It is easy to make a payment for the service </t>
  </si>
  <si>
    <t>M</t>
  </si>
  <si>
    <t>W</t>
  </si>
  <si>
    <t>CS</t>
  </si>
  <si>
    <t xml:space="preserve">A6B. Ease of use Service: In general, the service procedures are simple and easy </t>
  </si>
  <si>
    <t>Applying for the service</t>
  </si>
  <si>
    <t xml:space="preserve">A6C. Ease of use Service: Service interface is appealing and user-friendly (Website &amp; Mobile app) </t>
  </si>
  <si>
    <t xml:space="preserve">B1A. Interaction with the staff - I was welcomed and provided with the necessary assistance </t>
  </si>
  <si>
    <t xml:space="preserve">A6D. Ease of use Service: Ease of tracking the status of your request </t>
  </si>
  <si>
    <t>Interaction during processing</t>
  </si>
  <si>
    <t xml:space="preserve">B1B. Interaction with the staff - Sufficient information was given </t>
  </si>
  <si>
    <t xml:space="preserve">A6E. Ease of use Service: Ease of accessing technical support if needed </t>
  </si>
  <si>
    <t>Completing the service</t>
  </si>
  <si>
    <t xml:space="preserve">A8. Rate your agreement on statements related to Speed of service delivery </t>
  </si>
  <si>
    <t xml:space="preserve">A8C. Submitting the service request and receiving the service were completed within a reasonable time. </t>
  </si>
  <si>
    <t xml:space="preserve">A10. Customer privacy- I am sure that my personal information provided to the Ministry of Health and Prevention (MOHAP) will remain confidential </t>
  </si>
  <si>
    <t xml:space="preserve">B1E. Interaction with the staff - The process was efficient, and I was not required to provide the same information more than once. </t>
  </si>
  <si>
    <t xml:space="preserve">A10. Rate your agreement on statements related to customer privacy </t>
  </si>
  <si>
    <t xml:space="preserve">B3E. The staff you interacted with - Fairness in dealing </t>
  </si>
  <si>
    <t xml:space="preserve">A10A. Customer privacy- I am sure that my personal information provided to the Ministry of Health and Prevention (MOHAP) will remain confidential </t>
  </si>
  <si>
    <t xml:space="preserve">B3F. The staff you interacted with - Made an extra effort to help </t>
  </si>
  <si>
    <t xml:space="preserve">B3G. The staff you interacted with - Flexibility in dealing </t>
  </si>
  <si>
    <t xml:space="preserve">B3H. The staff you interacted with - Knowledge and reliability in their dealing </t>
  </si>
  <si>
    <t>Avrage of A2 &amp; A4A &amp; A6 &amp; A8 &amp; A10 &amp; A12</t>
  </si>
  <si>
    <t>-</t>
  </si>
  <si>
    <t>Customer Service Center - Summry Table</t>
  </si>
  <si>
    <t>Call Center - Summry Table</t>
  </si>
  <si>
    <t>B1A. Rate your agreement on statements related to your interaction with the staff</t>
  </si>
  <si>
    <t>A14,B5,C5</t>
  </si>
  <si>
    <t xml:space="preserve">B3B. The staff you interacted with - Using clear and easy-to-understand language </t>
  </si>
  <si>
    <t xml:space="preserve">B1F. Interaction with the staff - I was treated with respect &amp; appreciation, reflecting an interaction characterized by politeness </t>
  </si>
  <si>
    <t xml:space="preserve">B1G.The employee demonstrated active listening and attentiveness, and showed a clear understanding of my request and the challenges I faced </t>
  </si>
  <si>
    <t>B3. Rate your agreement on statements related to the staff you interacted with (Customer service center)</t>
  </si>
  <si>
    <t>B3. Rate your agreement on statements related to the staff you interacted with (Call center)</t>
  </si>
  <si>
    <t xml:space="preserve">B3J. The staff you interacted with - The employees worked together as a team to ensure my satisfaction (in case I interacted with more </t>
  </si>
  <si>
    <t xml:space="preserve">B3L. The staff you interacted with - Using clear and easy-to-understand language </t>
  </si>
  <si>
    <t xml:space="preserve">B5. Please rate your overall happiness with your interaction with the STAFF using a 5 point scalepy </t>
  </si>
  <si>
    <t xml:space="preserve">B3O. The staff you interacted with - Fairness in dealing </t>
  </si>
  <si>
    <t>A16</t>
  </si>
  <si>
    <t xml:space="preserve">B3P. The staff you interacted with - Made an extra effort to help </t>
  </si>
  <si>
    <t>Gender</t>
  </si>
  <si>
    <t xml:space="preserve">B3Q. The staff you interacted with - Flexibility in dealing </t>
  </si>
  <si>
    <t xml:space="preserve">B3R. The staff you interacted with - Knowledge and reliability in their dealing </t>
  </si>
  <si>
    <t xml:space="preserve">B3T. The staff you interacted with - The employees worked together as a team to ensure my satisfaction (in case I interacted with more </t>
  </si>
  <si>
    <t>Nationality</t>
  </si>
  <si>
    <t xml:space="preserve">D1A. Rate your agreement on statements related to the center you visited - Easy of reaching the location using navigation maps </t>
  </si>
  <si>
    <t>Avrage of B1A &amp; B3 (B3K,B3L,B3M,B3N,B3O,B3P,B3Q,B3R,B3S,B3TT) &amp; B5</t>
  </si>
  <si>
    <t>Age</t>
  </si>
  <si>
    <t>Avrage of B1A &amp; B3 (B3A,B3B,B3C,B3D,B3E,B3F,B3G,B3H,B3I,B3J) &amp; D1A &amp; B5</t>
  </si>
  <si>
    <t>Email - Summry Table</t>
  </si>
  <si>
    <t>Complaint- Summry Table</t>
  </si>
  <si>
    <t>City</t>
  </si>
  <si>
    <t xml:space="preserve">C3. Rate your agreement on statements related to the email response you received </t>
  </si>
  <si>
    <t xml:space="preserve">E2. Rate your agreement on statements related to the complaint handling process </t>
  </si>
  <si>
    <t xml:space="preserve">C3C. Rate your agreement to the email response received - Appropriate salutation used in the e-mail. (e.g. Mr. /Ms.  your name) </t>
  </si>
  <si>
    <t xml:space="preserve">E2A. Rate of agreement related to the complaint handling process - It was easy to file the complaint </t>
  </si>
  <si>
    <t xml:space="preserve">C3E. Rate your agreement to the email response received - All your queries were answered </t>
  </si>
  <si>
    <t xml:space="preserve">E2B. Rate of agreement related to the complaint handling process - The staff understood my needs/questions. </t>
  </si>
  <si>
    <t xml:space="preserve">C3G. Rate your agreement to the email response received - Response contained Thank you message </t>
  </si>
  <si>
    <t xml:space="preserve">E2D. Rate of agreement related to the complaint handling process - The complaint resolution was satisfactory </t>
  </si>
  <si>
    <t xml:space="preserve">C3I. the email used clear, simple language and was free of spelling and grammatical errors </t>
  </si>
  <si>
    <t>Avrage of E2</t>
  </si>
  <si>
    <t xml:space="preserve">C5. Please rate your overall happiness with the email response you received using a 5 point scale, where 5=very happy and 1=very unhappy </t>
  </si>
  <si>
    <t>Avrage of C3 &amp; C5</t>
  </si>
  <si>
    <t>Servise</t>
  </si>
  <si>
    <t>Healthcare Professional Evaluation</t>
  </si>
  <si>
    <t>Issue License / Renew License for a Health Advertisement</t>
  </si>
  <si>
    <t>Licensing of a Pharmaceutical Facility</t>
  </si>
  <si>
    <t>Amend a Pharmaceutical Facility License</t>
  </si>
  <si>
    <t>Licensing of Pharmacists</t>
  </si>
  <si>
    <t>Issue/Cancel Pharmacy Home Delivery Permit</t>
  </si>
  <si>
    <t>Cancellation of a License to Practice as a Pharmacist</t>
  </si>
  <si>
    <t>Approval of Medical Leaves and The Leave of Patient’s Companion</t>
  </si>
  <si>
    <t>Renewal of a License to Practice as a Pharmacist</t>
  </si>
  <si>
    <t>Attestation of Medical Leaves and Reports</t>
  </si>
  <si>
    <t>Renewal of a Pharmaceutical Facility License</t>
  </si>
  <si>
    <t xml:space="preserve">A4C. Information quality: Th information received via email/SMS throughout all stages were clear, useful, and adequate </t>
  </si>
  <si>
    <t xml:space="preserve">A4C. Information quality: The notifications received via email/SMS throughout all stages were clear, useful, and adequate </t>
  </si>
  <si>
    <t xml:space="preserve">A8C. Receiving the service were completed within a reasonable time. </t>
  </si>
  <si>
    <t xml:space="preserve">A8C. Submitting the service request were completed within a reasonable time. </t>
  </si>
  <si>
    <t>B1G.The employee demonstrated active listening and attentiveness, and showed a clear understanding of my request</t>
  </si>
  <si>
    <t xml:space="preserve">B1G.The employee demonstrated active listening and attentiveness, and showed a clear understanding of my the challenges I faced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</si>
</sst>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79">
    <xf numFmtId="0" fontId="0" fillId="0" borderId="0" xfId="0"/>
    <xf numFmtId="0" fontId="3" fillId="0" borderId="0" xfId="2"/>
    <xf numFmtId="0" fontId="2" fillId="0" borderId="0" xfId="0" applyFont="1"/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6" borderId="0" xfId="0" applyFont="1" applyFill="1" applyAlignment="1">
      <alignment horizontal="center"/>
    </xf>
    <xf numFmtId="10" fontId="0" fillId="6" borderId="0" xfId="0" applyNumberFormat="1" applyFill="1"/>
    <xf numFmtId="0" fontId="4" fillId="0" borderId="0" xfId="0" applyFont="1"/>
    <xf numFmtId="0" fontId="4" fillId="2" borderId="0" xfId="0" applyFont="1" applyFill="1"/>
    <xf numFmtId="0" fontId="4" fillId="7" borderId="0" xfId="0" applyFont="1" applyFill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vertical="center"/>
    </xf>
    <xf numFmtId="0" fontId="5" fillId="9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5" fillId="13" borderId="9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left" vertical="center"/>
    </xf>
    <xf numFmtId="9" fontId="5" fillId="8" borderId="14" xfId="0" applyNumberFormat="1" applyFont="1" applyFill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10" fontId="4" fillId="7" borderId="0" xfId="0" applyNumberFormat="1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12" borderId="9" xfId="0" applyFont="1" applyFill="1" applyBorder="1" applyAlignment="1">
      <alignment horizontal="left" vertical="center"/>
    </xf>
    <xf numFmtId="0" fontId="5" fillId="13" borderId="15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9" fontId="5" fillId="15" borderId="15" xfId="0" applyNumberFormat="1" applyFont="1" applyFill="1" applyBorder="1" applyAlignment="1">
      <alignment horizontal="center" vertical="center"/>
    </xf>
    <xf numFmtId="9" fontId="5" fillId="7" borderId="0" xfId="0" applyNumberFormat="1" applyFont="1" applyFill="1" applyAlignment="1">
      <alignment horizontal="center" vertical="center"/>
    </xf>
    <xf numFmtId="0" fontId="5" fillId="12" borderId="13" xfId="0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4" fillId="16" borderId="16" xfId="0" applyFont="1" applyFill="1" applyBorder="1" applyAlignment="1">
      <alignment vertical="center"/>
    </xf>
    <xf numFmtId="0" fontId="4" fillId="16" borderId="0" xfId="0" applyFont="1" applyFill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5" fillId="8" borderId="17" xfId="0" applyNumberFormat="1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horizontal="left" vertical="center"/>
    </xf>
    <xf numFmtId="0" fontId="4" fillId="16" borderId="16" xfId="0" applyFont="1" applyFill="1" applyBorder="1"/>
    <xf numFmtId="0" fontId="5" fillId="17" borderId="13" xfId="0" applyFont="1" applyFill="1" applyBorder="1" applyAlignment="1">
      <alignment horizontal="left" vertical="center"/>
    </xf>
    <xf numFmtId="0" fontId="4" fillId="16" borderId="18" xfId="0" applyFont="1" applyFill="1" applyBorder="1"/>
    <xf numFmtId="9" fontId="5" fillId="8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5" fillId="18" borderId="21" xfId="0" applyFont="1" applyFill="1" applyBorder="1" applyAlignment="1">
      <alignment horizontal="left" vertical="center"/>
    </xf>
    <xf numFmtId="9" fontId="5" fillId="8" borderId="22" xfId="0" applyNumberFormat="1" applyFont="1" applyFill="1" applyBorder="1" applyAlignment="1">
      <alignment horizontal="center" vertical="center"/>
    </xf>
    <xf numFmtId="1" fontId="5" fillId="0" borderId="22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1" fontId="4" fillId="0" borderId="0" xfId="0" applyNumberFormat="1" applyFont="1" applyAlignment="1">
      <alignment vertical="center"/>
    </xf>
    <xf numFmtId="0" fontId="5" fillId="16" borderId="1" xfId="0" applyFont="1" applyFill="1" applyBorder="1" applyAlignment="1">
      <alignment horizontal="left" vertical="center"/>
    </xf>
    <xf numFmtId="0" fontId="0" fillId="0" borderId="16" xfId="0" applyBorder="1"/>
    <xf numFmtId="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17" xfId="0" applyFont="1" applyBorder="1" applyAlignment="1">
      <alignment vertical="center"/>
    </xf>
    <xf numFmtId="9" fontId="5" fillId="8" borderId="1" xfId="0" applyNumberFormat="1" applyFont="1" applyFill="1" applyBorder="1" applyAlignment="1">
      <alignment horizontal="center" vertical="center"/>
    </xf>
    <xf numFmtId="9" fontId="5" fillId="19" borderId="15" xfId="0" applyNumberFormat="1" applyFont="1" applyFill="1" applyBorder="1" applyAlignment="1">
      <alignment horizontal="center" vertical="center"/>
    </xf>
    <xf numFmtId="9" fontId="5" fillId="8" borderId="3" xfId="0" applyNumberFormat="1" applyFont="1" applyFill="1" applyBorder="1" applyAlignment="1">
      <alignment horizontal="center" vertical="center"/>
    </xf>
    <xf numFmtId="0" fontId="0" fillId="0" borderId="4" xfId="0" applyBorder="1"/>
    <xf numFmtId="9" fontId="5" fillId="13" borderId="15" xfId="0" applyNumberFormat="1" applyFont="1" applyFill="1" applyBorder="1" applyAlignment="1">
      <alignment horizontal="center" vertical="center"/>
    </xf>
    <xf numFmtId="0" fontId="2" fillId="14" borderId="4" xfId="0" applyFont="1" applyFill="1" applyBorder="1"/>
    <xf numFmtId="0" fontId="5" fillId="0" borderId="12" xfId="0" applyFont="1" applyBorder="1" applyAlignment="1">
      <alignment vertical="center"/>
    </xf>
    <xf numFmtId="9" fontId="5" fillId="8" borderId="25" xfId="0" applyNumberFormat="1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20" xfId="0" applyFont="1" applyBorder="1" applyAlignment="1">
      <alignment vertical="center"/>
    </xf>
    <xf numFmtId="0" fontId="4" fillId="8" borderId="23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10" fontId="4" fillId="0" borderId="0" xfId="0" applyNumberFormat="1" applyFont="1" applyAlignment="1">
      <alignment vertical="center"/>
    </xf>
    <xf numFmtId="0" fontId="5" fillId="13" borderId="28" xfId="0" applyFont="1" applyFill="1" applyBorder="1" applyAlignment="1">
      <alignment horizontal="left" vertical="center"/>
    </xf>
    <xf numFmtId="9" fontId="5" fillId="0" borderId="28" xfId="0" applyNumberFormat="1" applyFont="1" applyBorder="1" applyAlignment="1">
      <alignment horizontal="center" vertical="center"/>
    </xf>
    <xf numFmtId="9" fontId="5" fillId="0" borderId="29" xfId="0" applyNumberFormat="1" applyFont="1" applyBorder="1" applyAlignment="1">
      <alignment horizontal="center" vertical="center"/>
    </xf>
    <xf numFmtId="0" fontId="5" fillId="12" borderId="28" xfId="0" applyFont="1" applyFill="1" applyBorder="1" applyAlignment="1">
      <alignment horizontal="left" vertical="center"/>
    </xf>
    <xf numFmtId="0" fontId="5" fillId="14" borderId="28" xfId="0" applyFont="1" applyFill="1" applyBorder="1" applyAlignment="1">
      <alignment horizontal="left" vertical="center"/>
    </xf>
    <xf numFmtId="0" fontId="4" fillId="16" borderId="18" xfId="0" applyFont="1" applyFill="1" applyBorder="1" applyAlignment="1">
      <alignment vertical="center"/>
    </xf>
    <xf numFmtId="0" fontId="5" fillId="17" borderId="28" xfId="0" applyFont="1" applyFill="1" applyBorder="1" applyAlignment="1">
      <alignment horizontal="left" vertical="center"/>
    </xf>
    <xf numFmtId="9" fontId="5" fillId="12" borderId="15" xfId="0" applyNumberFormat="1" applyFont="1" applyFill="1" applyBorder="1" applyAlignment="1">
      <alignment horizontal="center" vertical="center"/>
    </xf>
    <xf numFmtId="0" fontId="5" fillId="18" borderId="30" xfId="0" applyFont="1" applyFill="1" applyBorder="1" applyAlignment="1">
      <alignment horizontal="left" vertical="center"/>
    </xf>
    <xf numFmtId="9" fontId="5" fillId="0" borderId="30" xfId="0" applyNumberFormat="1" applyFont="1" applyBorder="1" applyAlignment="1">
      <alignment horizontal="center" vertical="center"/>
    </xf>
    <xf numFmtId="9" fontId="5" fillId="0" borderId="31" xfId="0" applyNumberFormat="1" applyFont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9" fontId="5" fillId="0" borderId="11" xfId="0" applyNumberFormat="1" applyFont="1" applyBorder="1" applyAlignment="1">
      <alignment horizontal="center" vertical="center"/>
    </xf>
    <xf numFmtId="0" fontId="2" fillId="14" borderId="32" xfId="0" applyFont="1" applyFill="1" applyBorder="1"/>
    <xf numFmtId="0" fontId="5" fillId="14" borderId="32" xfId="0" applyFont="1" applyFill="1" applyBorder="1" applyAlignment="1">
      <alignment horizontal="center" vertical="center"/>
    </xf>
    <xf numFmtId="0" fontId="5" fillId="14" borderId="33" xfId="0" applyFont="1" applyFill="1" applyBorder="1" applyAlignment="1">
      <alignment horizontal="center" vertical="center"/>
    </xf>
    <xf numFmtId="0" fontId="5" fillId="14" borderId="34" xfId="0" applyFont="1" applyFill="1" applyBorder="1" applyAlignment="1">
      <alignment horizontal="center" vertical="center"/>
    </xf>
    <xf numFmtId="0" fontId="5" fillId="17" borderId="32" xfId="0" applyFont="1" applyFill="1" applyBorder="1" applyAlignment="1">
      <alignment horizontal="center" vertical="center"/>
    </xf>
    <xf numFmtId="0" fontId="5" fillId="17" borderId="33" xfId="0" applyFont="1" applyFill="1" applyBorder="1" applyAlignment="1">
      <alignment horizontal="center" vertical="center"/>
    </xf>
    <xf numFmtId="0" fontId="5" fillId="17" borderId="3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26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left" vertical="center"/>
    </xf>
    <xf numFmtId="0" fontId="4" fillId="8" borderId="27" xfId="0" applyFont="1" applyFill="1" applyBorder="1" applyAlignment="1">
      <alignment horizontal="left" vertical="center"/>
    </xf>
    <xf numFmtId="0" fontId="5" fillId="6" borderId="28" xfId="0" applyFont="1" applyFill="1" applyBorder="1" applyAlignment="1">
      <alignment horizontal="left" vertical="center"/>
    </xf>
    <xf numFmtId="9" fontId="4" fillId="0" borderId="28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0" fontId="5" fillId="16" borderId="28" xfId="0" applyFont="1" applyFill="1" applyBorder="1" applyAlignment="1">
      <alignment horizontal="left" vertical="center"/>
    </xf>
    <xf numFmtId="0" fontId="5" fillId="16" borderId="30" xfId="0" applyFont="1" applyFill="1" applyBorder="1" applyAlignment="1">
      <alignment horizontal="left" vertical="center"/>
    </xf>
    <xf numFmtId="9" fontId="4" fillId="0" borderId="30" xfId="0" applyNumberFormat="1" applyFont="1" applyBorder="1" applyAlignment="1">
      <alignment horizontal="center" vertical="center"/>
    </xf>
    <xf numFmtId="9" fontId="4" fillId="0" borderId="31" xfId="0" applyNumberFormat="1" applyFont="1" applyBorder="1" applyAlignment="1">
      <alignment horizontal="center" vertical="center"/>
    </xf>
    <xf numFmtId="9" fontId="5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0" fontId="5" fillId="8" borderId="11" xfId="0" applyFont="1" applyFill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20" borderId="36" xfId="0" applyFont="1" applyFill="1" applyBorder="1" applyAlignment="1">
      <alignment vertical="center"/>
    </xf>
    <xf numFmtId="0" fontId="5" fillId="0" borderId="37" xfId="0" applyFont="1" applyBorder="1" applyAlignment="1">
      <alignment horizontal="center" vertical="center"/>
    </xf>
    <xf numFmtId="0" fontId="4" fillId="20" borderId="20" xfId="0" applyFont="1" applyFill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0" borderId="23" xfId="0" applyFont="1" applyFill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9" fontId="5" fillId="8" borderId="38" xfId="0" applyNumberFormat="1" applyFont="1" applyFill="1" applyBorder="1" applyAlignment="1">
      <alignment horizontal="center" vertical="center"/>
    </xf>
    <xf numFmtId="0" fontId="4" fillId="20" borderId="12" xfId="0" applyFont="1" applyFill="1" applyBorder="1" applyAlignment="1">
      <alignment vertical="center"/>
    </xf>
    <xf numFmtId="0" fontId="5" fillId="0" borderId="28" xfId="0" applyFont="1" applyBorder="1" applyAlignment="1">
      <alignment horizontal="center" vertical="center"/>
    </xf>
    <xf numFmtId="0" fontId="4" fillId="16" borderId="39" xfId="0" applyFont="1" applyFill="1" applyBorder="1" applyAlignment="1">
      <alignment vertical="center"/>
    </xf>
    <xf numFmtId="9" fontId="5" fillId="17" borderId="15" xfId="0" applyNumberFormat="1" applyFont="1" applyFill="1" applyBorder="1" applyAlignment="1">
      <alignment horizontal="center" vertical="center"/>
    </xf>
    <xf numFmtId="9" fontId="4" fillId="0" borderId="0" xfId="1" applyFont="1" applyAlignment="1">
      <alignment horizontal="center" vertical="center"/>
    </xf>
    <xf numFmtId="9" fontId="4" fillId="7" borderId="0" xfId="1" applyFont="1" applyFill="1" applyAlignment="1">
      <alignment horizontal="center" vertical="center"/>
    </xf>
    <xf numFmtId="9" fontId="5" fillId="14" borderId="15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9" fontId="4" fillId="0" borderId="0" xfId="1" applyFont="1" applyAlignment="1">
      <alignment vertical="center"/>
    </xf>
    <xf numFmtId="0" fontId="5" fillId="18" borderId="9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5" fillId="21" borderId="9" xfId="0" applyFont="1" applyFill="1" applyBorder="1" applyAlignment="1">
      <alignment horizontal="center" vertical="center"/>
    </xf>
    <xf numFmtId="0" fontId="5" fillId="21" borderId="10" xfId="0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9" fontId="5" fillId="21" borderId="15" xfId="0" applyNumberFormat="1" applyFont="1" applyFill="1" applyBorder="1" applyAlignment="1">
      <alignment horizontal="center" vertical="center"/>
    </xf>
    <xf numFmtId="9" fontId="5" fillId="18" borderId="15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14" borderId="1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 cent" xfId="1" builtinId="5"/>
  </cellStyles>
  <dxfs count="7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edbackme.sharepoint.com/sites/GovernmentTeam/Shared%20Documents/MOHAP/2.%20Customer%20Satisfaction%20Study/1.%20Pre%20FW/MOHAP%20Service%20List%20(Updated).xlsx" TargetMode="External"/><Relationship Id="rId1" Type="http://schemas.openxmlformats.org/officeDocument/2006/relationships/externalLinkPath" Target="https://feedbackme.sharepoint.com/sites/GovernmentTeam/Shared%20Documents/MOHAP/2.%20Customer%20Satisfaction%20Study/1.%20Pre%20FW/MOHAP%20Service%20List%20(Updat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</sheetNames>
    <sheetDataSet>
      <sheetData sheetId="0">
        <row r="2">
          <cell r="D2" t="str">
            <v>Age Estimation Certificates</v>
          </cell>
          <cell r="E2" t="str">
            <v>شهادات تقدير العمر</v>
          </cell>
        </row>
        <row r="3">
          <cell r="D3" t="str">
            <v>Quality control of pharmaceutical products</v>
          </cell>
          <cell r="E3" t="str">
            <v>ضبط الجودة النوعية للمنتجات</v>
          </cell>
        </row>
        <row r="4">
          <cell r="D4" t="str">
            <v>Approval of Medical Leaves and The Leave of Patient’s Companion</v>
          </cell>
          <cell r="E4" t="str">
            <v>اعتماد الاجازات المرضية وإجازة المرافق</v>
          </cell>
        </row>
        <row r="5">
          <cell r="D5" t="str">
            <v>Customer Service - Suggestions</v>
          </cell>
          <cell r="E5" t="str">
            <v>خدمة المتعاملين - الاقتراحات</v>
          </cell>
        </row>
        <row r="6">
          <cell r="D6" t="str">
            <v>Healthcare Awareness and Education</v>
          </cell>
          <cell r="E6" t="str">
            <v>التثقيف والتوعية الصحية</v>
          </cell>
        </row>
        <row r="7">
          <cell r="D7" t="str">
            <v>Clearance, Import and Export Permits</v>
          </cell>
          <cell r="E7" t="str">
            <v>التخليص وأذونات الاستيراد والتصدير</v>
          </cell>
        </row>
        <row r="8">
          <cell r="D8" t="str">
            <v>Health Advertisement Licensing</v>
          </cell>
          <cell r="E8" t="str">
            <v>ترخيص الإعلانات الصحية</v>
          </cell>
        </row>
        <row r="9">
          <cell r="D9" t="str">
            <v>Medical, Pharmaceutical and Drug Licencing and Registration</v>
          </cell>
          <cell r="E9" t="str">
            <v>ترخيص وتسجيل المنتجات الطبية والصيدلانية والدوائية</v>
          </cell>
        </row>
        <row r="10">
          <cell r="D10" t="str">
            <v>Medical Fitness Examinations and Certificates</v>
          </cell>
          <cell r="E10" t="str">
            <v>فحوصات وشهادات اللياقة الصحية</v>
          </cell>
        </row>
        <row r="11">
          <cell r="D11" t="str">
            <v>Medical Research and Healthcare Data</v>
          </cell>
          <cell r="E11" t="str">
            <v>البحوث الطبية والبيانات الصحية</v>
          </cell>
        </row>
        <row r="12">
          <cell r="D12" t="str">
            <v>Customer Service - Submit Inquiries</v>
          </cell>
          <cell r="E12" t="str">
            <v>خدمة المتعاملين - تقديم الاستفسارات</v>
          </cell>
        </row>
        <row r="13">
          <cell r="D13" t="str">
            <v>Control and Inspection</v>
          </cell>
          <cell r="E13" t="str">
            <v>الرقابة والتفتيش</v>
          </cell>
        </row>
        <row r="14">
          <cell r="D14" t="str">
            <v>Licensing of medical professions</v>
          </cell>
          <cell r="E14" t="str">
            <v>ترخيص المهن الطبية</v>
          </cell>
        </row>
        <row r="15">
          <cell r="D15" t="str">
            <v>Customer Service</v>
          </cell>
          <cell r="E15" t="str">
            <v>خدمة المتعاملين</v>
          </cell>
        </row>
        <row r="16">
          <cell r="D16" t="str">
            <v>training and development</v>
          </cell>
          <cell r="E16" t="str">
            <v>التدريب و التطوير</v>
          </cell>
        </row>
        <row r="17">
          <cell r="D17" t="str">
            <v>Pre-marital Counseling</v>
          </cell>
          <cell r="E17" t="str">
            <v>المشورة ماقبل الزواج</v>
          </cell>
        </row>
        <row r="18">
          <cell r="D18" t="str">
            <v>Organ Donation</v>
          </cell>
          <cell r="E18" t="str">
            <v>التبرع بالأعضاء</v>
          </cell>
        </row>
        <row r="19">
          <cell r="D19" t="str">
            <v>Customer Service - Submit Complaints and Feedback</v>
          </cell>
          <cell r="E19" t="str">
            <v>خدمة المتعاملين - تقديم الملاحظات والشكاوي</v>
          </cell>
        </row>
        <row r="20">
          <cell r="D20" t="str">
            <v>Medical Establishment Licencing and Registration</v>
          </cell>
          <cell r="E20" t="str">
            <v>ترخيص وتسجيل المنشآت الطبية</v>
          </cell>
        </row>
        <row r="21">
          <cell r="D21" t="str">
            <v>Medical Profession Assessment</v>
          </cell>
          <cell r="E21" t="str">
            <v>تقييم المهن الطبية</v>
          </cell>
        </row>
        <row r="22">
          <cell r="D22" t="str">
            <v>Sick leave and medical reports</v>
          </cell>
          <cell r="E22" t="str">
            <v>الاجازات المرضية والتقارير الطبية</v>
          </cell>
        </row>
        <row r="23">
          <cell r="D23" t="str">
            <v>Treatment Abroad</v>
          </cell>
          <cell r="E23" t="str">
            <v>العلاج بالخارج</v>
          </cell>
        </row>
        <row r="24">
          <cell r="D24" t="str">
            <v>Pharmaceutical vigilance</v>
          </cell>
          <cell r="E24" t="str">
            <v>اليقظة الدوائية</v>
          </cell>
        </row>
        <row r="25">
          <cell r="D25" t="str">
            <v>Regulation of Anesthetic drugs and chemical precursors</v>
          </cell>
          <cell r="E25" t="str">
            <v>تنظيم الادوية المخدرة والسلائف</v>
          </cell>
        </row>
        <row r="26">
          <cell r="D26" t="str">
            <v>Pharmaceutical Suppliers Services</v>
          </cell>
          <cell r="E26" t="str">
            <v>تسجيل موردي الأدوية</v>
          </cell>
        </row>
        <row r="27">
          <cell r="D27" t="str">
            <v>Authorize a pharmaceutical company to Dispose any pharmaceutical products as medical waste</v>
          </cell>
          <cell r="E27" t="str">
            <v>التصريح لمؤسسة صيدلانية بإتلاف اي من المنتجات الدوائية</v>
          </cell>
        </row>
        <row r="28">
          <cell r="D28" t="str">
            <v>Licensing of a Pharmaceutical Facility</v>
          </cell>
          <cell r="E28" t="str">
            <v>ترخيص مؤسسة صيدلانية</v>
          </cell>
        </row>
        <row r="29">
          <cell r="D29" t="str">
            <v>Issue of Permit to Import Chemical Precursors</v>
          </cell>
          <cell r="E29" t="str">
            <v>إصدار إذن استيراد سلائف كيميائية</v>
          </cell>
        </row>
        <row r="30">
          <cell r="D30" t="str">
            <v>Licensing of a Visiting Doctor from the UAE</v>
          </cell>
          <cell r="E30" t="str">
            <v>ترخيص طبيب زائر من داخل الدولة</v>
          </cell>
        </row>
        <row r="31">
          <cell r="D31" t="str">
            <v>Register For Organ Donation after death</v>
          </cell>
          <cell r="E31" t="str">
            <v>التسجيل للتبرع بالأعضاء بعد الوفاة</v>
          </cell>
        </row>
        <row r="32">
          <cell r="D32" t="str">
            <v>Ajr Wa Aafya Bundle</v>
          </cell>
          <cell r="E32" t="str">
            <v>باقة أجر وعافية</v>
          </cell>
        </row>
        <row r="33">
          <cell r="D33" t="str">
            <v>Renewal of Registration of Medical Equipment</v>
          </cell>
          <cell r="E33" t="str">
            <v>تجديد تسجيل وسيلة طبية</v>
          </cell>
        </row>
        <row r="34">
          <cell r="D34" t="str">
            <v>Issue/Cancel Pharmacy Home Delivery Permit</v>
          </cell>
          <cell r="E34" t="str">
            <v>إصدار / إلغاء تصريح صيدلية للتوصيل إلى المنزل</v>
          </cell>
        </row>
        <row r="35">
          <cell r="D35" t="str">
            <v>Issue of a Certificate of Free Sale of a Medical Product for Export</v>
          </cell>
          <cell r="E35" t="str">
            <v>اصدار شهادة بيع حر لمنتج طبي لغرض التصدير</v>
          </cell>
        </row>
        <row r="36">
          <cell r="D36" t="str">
            <v>Issue a Medical Product Pricing Certificate</v>
          </cell>
          <cell r="E36" t="str">
            <v>إصدار شهادة تسعير منتج دوائي</v>
          </cell>
        </row>
        <row r="37">
          <cell r="D37" t="str">
            <v>Issue a Certificate of Compliance with good Manufacturing Practice Standards</v>
          </cell>
          <cell r="E37" t="str">
            <v>إصدار شهادة الالتزام بمعايير التصنيع الجيد</v>
          </cell>
        </row>
        <row r="38">
          <cell r="D38" t="str">
            <v>Issue License / Renew License for a Health Advertisement</v>
          </cell>
          <cell r="E38" t="str">
            <v>إصدار ترخيص/ تجديد ترخيص إعلان صحي</v>
          </cell>
        </row>
        <row r="39">
          <cell r="D39" t="str">
            <v>Issue/ Cancel Online Pharmacy Permit</v>
          </cell>
          <cell r="E39" t="str">
            <v>إصدار/إلغاء تصريح الصيدلية الإلكترونية</v>
          </cell>
        </row>
        <row r="40">
          <cell r="D40" t="str">
            <v>Re-license (Re-register) a Pharmaceutical Facility</v>
          </cell>
          <cell r="E40" t="str">
            <v>إعادة منح (تفعيل) ترخيص مؤسسة صيدلانية</v>
          </cell>
        </row>
        <row r="41">
          <cell r="D41" t="str">
            <v>Repricing of a Medical Product</v>
          </cell>
          <cell r="E41" t="str">
            <v>اعادة تسعير منتج دوائي</v>
          </cell>
        </row>
        <row r="42">
          <cell r="D42" t="str">
            <v>Assessment of Medical Products for Pharmacological Research and Clinical Studies of Drugs</v>
          </cell>
          <cell r="E42" t="str">
            <v>تقييم منتجات طبية لغايات البحوث الدوائية والدراسات السريرية للدواء</v>
          </cell>
        </row>
        <row r="43">
          <cell r="D43" t="str">
            <v>Issue of a Certificate of a Pharmaceutical Product for Export</v>
          </cell>
          <cell r="E43" t="str">
            <v>اصدار شهادة منتج صيدلاني لغرض التصدير</v>
          </cell>
        </row>
        <row r="44">
          <cell r="D44" t="str">
            <v>Issue of Permit to Import Medical Equipment</v>
          </cell>
          <cell r="E44" t="str">
            <v>إصدار إذن استيراد معدات طبية</v>
          </cell>
        </row>
        <row r="45">
          <cell r="D45" t="str">
            <v>Issue of Permit to Import Medicines to a Local Agent</v>
          </cell>
          <cell r="E45" t="str">
            <v>إصدار إذن استيراد أدوية للوكيل المحلي</v>
          </cell>
        </row>
        <row r="46">
          <cell r="D46" t="str">
            <v>Handover of Narcotic Drugs custody permission</v>
          </cell>
          <cell r="E46" t="str">
            <v>إذن تسليم عهدة الأدوية المخدرة</v>
          </cell>
        </row>
        <row r="47">
          <cell r="D47" t="str">
            <v>Approve the signature of the responsible for Narcotic Drugs custody</v>
          </cell>
          <cell r="E47" t="str">
            <v>اعتماد توقيع مسؤول عهدة الأدوية المخدرة</v>
          </cell>
        </row>
        <row r="48">
          <cell r="D48" t="str">
            <v>Issue a Price List for a Medical Product Registered to a company</v>
          </cell>
          <cell r="E48" t="str">
            <v>إصدار قائمة أسعار الأدوية المسعرة للشركة</v>
          </cell>
        </row>
        <row r="49">
          <cell r="D49" t="str">
            <v>This service allows clients to apply for a price list of the medical products registered in the UAE.</v>
          </cell>
          <cell r="E49" t="str">
            <v>إصدار قائمة أسعار المنتجات الطبية المسعرة في الدولة</v>
          </cell>
        </row>
        <row r="50">
          <cell r="D50" t="str">
            <v>List of Licensed Pharmaceutical Facilities in the UAE</v>
          </cell>
          <cell r="E50" t="str">
            <v>قائمة أسماء المؤسسات الصيدلانية المرخصة في الدولة</v>
          </cell>
        </row>
        <row r="51">
          <cell r="D51" t="str">
            <v>Amend a Health Facility License</v>
          </cell>
          <cell r="E51" t="str">
            <v>تعديل ترخيص مُنشأة صحية</v>
          </cell>
        </row>
        <row r="52">
          <cell r="D52" t="str">
            <v>Renewal of a Pharmaceutical Facility License</v>
          </cell>
          <cell r="E52" t="str">
            <v>تجديد ترخيص مؤسسة صيدلانية</v>
          </cell>
        </row>
        <row r="53">
          <cell r="D53" t="str">
            <v>Registration of A Pharmaceutical Product Derived from Natural Sources</v>
          </cell>
          <cell r="E53" t="str">
            <v>تسجيل منتج صيدلاني مستمد من مصادر طبيعية</v>
          </cell>
        </row>
        <row r="54">
          <cell r="D54" t="str">
            <v>Analyze/ Re-Analysis of a Medical Product for a Pharmaceutical Company and Its Subsidiaries</v>
          </cell>
          <cell r="E54" t="str">
            <v>تحليل / إعادة تحليل منتج طبي لمؤسسة صيدلانية و الشركات التابعة لها</v>
          </cell>
        </row>
        <row r="55">
          <cell r="D55" t="str">
            <v>Registration of a Medical Equipment</v>
          </cell>
          <cell r="E55" t="str">
            <v>تسجيل وسيلة طبية</v>
          </cell>
        </row>
        <row r="56">
          <cell r="D56" t="str">
            <v>Attestation of Medical Leaves and Reports</v>
          </cell>
          <cell r="E56" t="str">
            <v>تصديق الإجازات والتقارير الطبية</v>
          </cell>
        </row>
        <row r="57">
          <cell r="D57" t="str">
            <v>Register of the Narcotic drugs distributed to Private Health Establishments</v>
          </cell>
          <cell r="E57" t="str">
            <v>صرف سجل عهدة الأدوية المخدرة التي يتم صرفها للصيدليات والأقسام في المنشأة الصحية الخاصة</v>
          </cell>
        </row>
        <row r="58">
          <cell r="D58" t="str">
            <v>Issue a Batch Release Certificate for Shipment of Pharmaceutical Products Derived from Biological Sour</v>
          </cell>
          <cell r="E58" t="str">
            <v>إصدار شهادة افراج عن شحنة لمنتجات دوائية مستخلصة من مصادر بيولوجية</v>
          </cell>
        </row>
        <row r="59">
          <cell r="D59" t="str">
            <v>Issue of Permit to Import Raw Materials</v>
          </cell>
          <cell r="E59" t="str">
            <v>إصدار إذن استيراد مواد أولية</v>
          </cell>
        </row>
        <row r="60">
          <cell r="D60" t="str">
            <v>Approve Emergency Drugs and Psychotropic Materials</v>
          </cell>
          <cell r="E60" t="str">
            <v>اعتماد أدوية الحالات الطارئة والمؤثرات العقلية</v>
          </cell>
        </row>
        <row r="61">
          <cell r="D61" t="str">
            <v>Issue a Certificate of Compliance with the good Practice Standards of a Pharmaceutical Establishment</v>
          </cell>
          <cell r="E61" t="str">
            <v>إصدار شهادة الالتزام بمعايير الممارسة الجيدة لمؤسسة صيدلانية</v>
          </cell>
        </row>
        <row r="62">
          <cell r="D62" t="str">
            <v>Issue a price list for controlled or semi-controlled drugs</v>
          </cell>
          <cell r="E62" t="str">
            <v>إصدار قائمة اسعار الادوية المراقبة او شبه المراقبة داخل الدولة</v>
          </cell>
        </row>
        <row r="63">
          <cell r="D63" t="str">
            <v>Appeal Against Medical Licensing Committee Decision</v>
          </cell>
          <cell r="E63" t="str">
            <v>التظلم على قرار لجنة التراخيص بشأن المخالفات</v>
          </cell>
        </row>
        <row r="64">
          <cell r="D64" t="str">
            <v>Add Privilege for Health Professional</v>
          </cell>
          <cell r="E64" t="str">
            <v>إضافة امتياز للمهني الصحي</v>
          </cell>
        </row>
        <row r="65">
          <cell r="D65" t="str">
            <v>Complaints about private health and pharmaceutical facilities and their medical staff</v>
          </cell>
          <cell r="E65" t="str">
            <v>الشكاوى على المنشآت الصحية الخاصة والصيدلانية وكادرها الطبي</v>
          </cell>
        </row>
        <row r="66">
          <cell r="D66" t="str">
            <v>Training of Pharmacists/Assistant Pharmacists in a Pharmaceutical Facility</v>
          </cell>
          <cell r="E66" t="str">
            <v>تدريب صيدلي / مساعد صيدلي في مؤسسة صيدلانية</v>
          </cell>
        </row>
        <row r="67">
          <cell r="D67" t="str">
            <v>Health Statistics</v>
          </cell>
          <cell r="E67" t="str">
            <v>إحصائيات صحية</v>
          </cell>
        </row>
        <row r="68">
          <cell r="D68" t="str">
            <v>Publish a research paper in the research bank</v>
          </cell>
          <cell r="E68" t="str">
            <v>نشر ورقة بحثية في بنك الأبحاث</v>
          </cell>
        </row>
        <row r="69">
          <cell r="D69" t="str">
            <v>Appealing Against Health Advertisement Violation</v>
          </cell>
          <cell r="E69" t="str">
            <v>التظلم على مخالفات الإعلانات الصحية</v>
          </cell>
        </row>
        <row r="70">
          <cell r="D70" t="str">
            <v>Issue of Permit to Export Precursors Chemicals</v>
          </cell>
          <cell r="E70" t="str">
            <v>إصدار إذن تصدير سلائف كيميائية</v>
          </cell>
        </row>
        <row r="71">
          <cell r="D71" t="str">
            <v>Amend the Registration Data of a  Pharmaceutical Manufacturer or Marketing Authorization Holder</v>
          </cell>
          <cell r="E71" t="str">
            <v>تعديل بيانات تسجيل شركة طبية او مصنع حاصل على حق التسويق</v>
          </cell>
        </row>
        <row r="72">
          <cell r="D72" t="str">
            <v>Approval of Pharmacovigilance Officer within UAE</v>
          </cell>
          <cell r="E72" t="str">
            <v>اعتماد ضابط اليقظة الدوائية في الدولة</v>
          </cell>
        </row>
        <row r="73">
          <cell r="D73" t="str">
            <v>Evaluation of Pharmacovigilance Plan for Medical Products within UAE</v>
          </cell>
          <cell r="E73" t="str">
            <v>تقييم خطة اليقظة الدوائية للمنتجات الطبية في الدولة</v>
          </cell>
        </row>
        <row r="74">
          <cell r="D74" t="str">
            <v>Issue an authorization to Export Narcotic Drugs</v>
          </cell>
          <cell r="E74" t="str">
            <v>إصدار تفويض تصدير أدوية ومواد مخدرة</v>
          </cell>
        </row>
        <row r="75">
          <cell r="D75" t="str">
            <v>Issue of permit to Export Medicines</v>
          </cell>
          <cell r="E75" t="str">
            <v>إصدار إذن تصدير أدوية</v>
          </cell>
        </row>
        <row r="76">
          <cell r="D76" t="str">
            <v>Approve narcotic drugs for internal pharmacies at private hospitals</v>
          </cell>
          <cell r="E76" t="str">
            <v>اعتماد العقاقير المخدرة للصيدليات الداخلية في المستشفيات الخاصة</v>
          </cell>
        </row>
        <row r="77">
          <cell r="D77" t="str">
            <v>Issue of a 24-Hour Pharmacy Work Permit</v>
          </cell>
          <cell r="E77" t="str">
            <v>إصدار تصريح عمل صيدلية على مدار 24 ساعة</v>
          </cell>
        </row>
        <row r="78">
          <cell r="D78" t="str">
            <v>Register for controlled or semi-controlled drugs custody</v>
          </cell>
          <cell r="E78" t="str">
            <v>صرف سجل عهدة أدوية مراقبة أو شبه مراقبة</v>
          </cell>
        </row>
        <row r="79">
          <cell r="D79" t="str">
            <v>Cancellation of a Pharmaceutical Facility's License</v>
          </cell>
          <cell r="E79" t="str">
            <v>إلغاء ترخيص مؤسسة صيدلانية</v>
          </cell>
        </row>
        <row r="80">
          <cell r="D80" t="str">
            <v>Amend a Pharmaceutical Facility License</v>
          </cell>
          <cell r="E80" t="str">
            <v>تعديل ترخيص مؤسسة صيدلانية</v>
          </cell>
        </row>
        <row r="81">
          <cell r="D81" t="str">
            <v>Registration/ Renewal of Chemical Precursor Companies</v>
          </cell>
          <cell r="E81" t="str">
            <v>تسجيل/ تجديد تسجيل شركات السلائف الكيميائية</v>
          </cell>
        </row>
        <row r="82">
          <cell r="D82" t="str">
            <v>Issue of quality report for medical product issued by Drug Quality Control Laboratory</v>
          </cell>
          <cell r="E82" t="str">
            <v>اصدار تقرير جودة منتج طبي صادر عن مختبر لرقابة جودة الدواء</v>
          </cell>
        </row>
        <row r="83">
          <cell r="D83" t="str">
            <v>Registration of Pharmaceutical Product for General Sale</v>
          </cell>
          <cell r="E83" t="str">
            <v>تسجيل منتج صيدلاني ذات البيع العام</v>
          </cell>
        </row>
        <row r="84">
          <cell r="D84" t="str">
            <v>Issue of Permit to Import Medicines for Exhibitions</v>
          </cell>
          <cell r="E84" t="str">
            <v>إذن استيراد أدوية للمعارض</v>
          </cell>
        </row>
        <row r="85">
          <cell r="D85" t="str">
            <v>Registration of A Manufacturer of Medical Products</v>
          </cell>
          <cell r="E85" t="str">
            <v>تسجيل شركة مصنعة للمنتجات الطبية</v>
          </cell>
        </row>
        <row r="86">
          <cell r="D86" t="str">
            <v>Issue of a Certificate of Amendment of Registered Pharmaceutical Products</v>
          </cell>
          <cell r="E86" t="str">
            <v>اصدار شهادة تعديل على المستحضرات الدوائية المسجلة</v>
          </cell>
        </row>
        <row r="87">
          <cell r="D87" t="str">
            <v>Issue of a Certificate of Accreditation for a Center of Clinical Studies or Bioequivalence</v>
          </cell>
          <cell r="E87" t="str">
            <v>اصدار شهادة اعتماد مركز دراسات سريرية او تكافؤ حيوي</v>
          </cell>
        </row>
        <row r="88">
          <cell r="D88" t="str">
            <v>Healthy Restaurant Accreditation</v>
          </cell>
          <cell r="E88" t="str">
            <v>اعتماد مطعم صحي</v>
          </cell>
        </row>
        <row r="89">
          <cell r="D89" t="str">
            <v>Renewal of Registration of a Conventional Pharmaceutical Product</v>
          </cell>
          <cell r="E89" t="str">
            <v>تجديد تسجيل منتج دوائي تقليدي</v>
          </cell>
        </row>
        <row r="90">
          <cell r="D90" t="str">
            <v>Renewal of Registration of a Pharmaceutical Product for General Sale</v>
          </cell>
          <cell r="E90" t="str">
            <v>تجديد تسجيل منتج صيدلاني ذات البيع العام</v>
          </cell>
        </row>
        <row r="91">
          <cell r="D91" t="str">
            <v>Renewal of the Registration of a Manufacturer of Medical Products</v>
          </cell>
          <cell r="E91" t="str">
            <v>تجديد تسجيل شركة مصنعة للمنتجات الطبية</v>
          </cell>
        </row>
        <row r="92">
          <cell r="D92" t="str">
            <v>Renewal of Registration Certificate for Medical Professional</v>
          </cell>
          <cell r="E92" t="str">
            <v>تجديد شهادة تسجيل التقييم المهني الصحي</v>
          </cell>
        </row>
        <row r="93">
          <cell r="D93" t="str">
            <v>Registration of a Conventional Pharmaceutical Product</v>
          </cell>
          <cell r="E93" t="str">
            <v>تسجيل منتج دوائي تقليدي</v>
          </cell>
        </row>
        <row r="94">
          <cell r="D94" t="str">
            <v>Changing the Professional Titles of Nursing Practitioners and Medical Professionals</v>
          </cell>
          <cell r="E94" t="str">
            <v>تغيير المسمى المهني لمزاولي مهنة التمريض وفني الطب</v>
          </cell>
        </row>
        <row r="95">
          <cell r="D95" t="str">
            <v>Arranging Health Awareness or Health Educational event</v>
          </cell>
          <cell r="E95" t="str">
            <v>تنظيم فعالية تثقيف صحي أو توعية صحية</v>
          </cell>
        </row>
        <row r="96">
          <cell r="D96" t="str">
            <v>Issue an authorization to Import Narcotic Drugs</v>
          </cell>
          <cell r="E96" t="str">
            <v>إصدار تفويض استيراد أدوية مخدرة</v>
          </cell>
        </row>
        <row r="97">
          <cell r="D97" t="str">
            <v>Issue a Good Standing Certificate for a Health Professional</v>
          </cell>
          <cell r="E97" t="str">
            <v>إصدار شهادة حسن السيرة المهنية للمهني الصحي</v>
          </cell>
        </row>
        <row r="98">
          <cell r="D98" t="str">
            <v>Verification of Registration of a Nursing Certificate Issued Outside UAE</v>
          </cell>
          <cell r="E98" t="str">
            <v>إثبات تسجيل شهادة التمريض من خارج الدولة</v>
          </cell>
        </row>
        <row r="99">
          <cell r="D99" t="str">
            <v>Narcotics custody for hospital permission</v>
          </cell>
          <cell r="E99" t="str">
            <v>إذن عهدة مواد مخدرة لمستشفى</v>
          </cell>
        </row>
        <row r="100">
          <cell r="D100" t="str">
            <v>Cancel a Health Facility License</v>
          </cell>
          <cell r="E100" t="str">
            <v>الغاء ترخيص مُنشأة صحية</v>
          </cell>
        </row>
        <row r="101">
          <cell r="D101" t="str">
            <v>Issue a Health Facility License</v>
          </cell>
          <cell r="E101" t="str">
            <v>ترخيص مُنشأة صحية</v>
          </cell>
        </row>
        <row r="102">
          <cell r="D102" t="str">
            <v>Renew a Health Facility License</v>
          </cell>
          <cell r="E102" t="str">
            <v>تجديد ترخيص مُنشأة صحية</v>
          </cell>
        </row>
        <row r="103">
          <cell r="D103" t="str">
            <v>Re-license (Re-register) a Health Facility</v>
          </cell>
          <cell r="E103" t="str">
            <v>إعادة منح (تفعيل) ترخيص مُنشأة صحية</v>
          </cell>
        </row>
        <row r="104">
          <cell r="D104" t="str">
            <v>Renewal of Licenses for Nursing and Medical Professionals</v>
          </cell>
          <cell r="E104" t="str">
            <v>تجديد الترخيص لمزاولي مهنة التمريض وفنيي الطب</v>
          </cell>
        </row>
        <row r="105">
          <cell r="D105" t="str">
            <v>Renewal of a License to Practice as a Doctor</v>
          </cell>
          <cell r="E105" t="str">
            <v>تجديد ترخيص طبيب</v>
          </cell>
        </row>
        <row r="106">
          <cell r="D106" t="str">
            <v>Licensing of a Doctor</v>
          </cell>
          <cell r="E106" t="str">
            <v>ترخيص طبيب</v>
          </cell>
        </row>
        <row r="107">
          <cell r="D107" t="str">
            <v>License for Nursing and Medical Professionals</v>
          </cell>
          <cell r="E107" t="str">
            <v>الترخيص لمزاولي مهنة التمريض وفنيي الطب</v>
          </cell>
        </row>
        <row r="108">
          <cell r="D108" t="str">
            <v>Re-licensing of a Doctor</v>
          </cell>
          <cell r="E108" t="str">
            <v>إعادة ترخيص طبيب</v>
          </cell>
        </row>
        <row r="109">
          <cell r="D109" t="str">
            <v>Cancellation of Licenses for Nurses and Medical Professionals</v>
          </cell>
          <cell r="E109" t="str">
            <v>إلغاء ترخيص لمزاولي مهنة التمريض وفني الطب</v>
          </cell>
        </row>
        <row r="110">
          <cell r="D110" t="str">
            <v>Cancellation of a Doctor's License</v>
          </cell>
          <cell r="E110" t="str">
            <v>إلغاء ترخيص طبيب</v>
          </cell>
        </row>
        <row r="111">
          <cell r="D111" t="str">
            <v>Registration of a Change to the Professional Title of a Doctor</v>
          </cell>
          <cell r="E111" t="str">
            <v>تغيير المسمى الوظيفي لرخصة طبيب</v>
          </cell>
        </row>
        <row r="112">
          <cell r="D112" t="str">
            <v>Re-registration of Licenses for Nurses and Medical Professionals</v>
          </cell>
          <cell r="E112" t="str">
            <v>إعادة ترخيص لمزاولي مهنة التمريض وفنيي الطب</v>
          </cell>
        </row>
        <row r="113">
          <cell r="D113" t="str">
            <v>Licensing of a Doctor or Dentist to Utilize the Services of a Private Health Facility</v>
          </cell>
          <cell r="E113" t="str">
            <v>التصريح لطبيب مزاول مهنة الطب البشري أو طب الأسنان للاستفادة من خدمات منشأة صحية خاصة</v>
          </cell>
        </row>
        <row r="114">
          <cell r="D114" t="str">
            <v>Licensing of a Visiting Foreign Doctor</v>
          </cell>
          <cell r="E114" t="str">
            <v>ترخيص طبيب زائر من خارج الدولة</v>
          </cell>
        </row>
        <row r="115">
          <cell r="D115" t="str">
            <v>Transfer of a Doctor's License</v>
          </cell>
          <cell r="E115" t="str">
            <v>نقل ترخيص طبيب</v>
          </cell>
        </row>
        <row r="116">
          <cell r="D116" t="str">
            <v>Transfer of Licenses for Nurses and Medical Professionals</v>
          </cell>
          <cell r="E116" t="str">
            <v>نقل الترخيص الى منشأة صحية خاصة أخرى لمزاولي مهنة التمريض وفني الطب</v>
          </cell>
        </row>
        <row r="117">
          <cell r="D117" t="str">
            <v>Licensing of Pharmacists</v>
          </cell>
          <cell r="E117" t="str">
            <v>ترخيص مزاولة مهنة الصيدلة</v>
          </cell>
        </row>
        <row r="118">
          <cell r="D118" t="str">
            <v>Re-licensing of a Pharmacist</v>
          </cell>
          <cell r="E118" t="str">
            <v>إعادة ترخيص مزاولة مهنة الصيدلة</v>
          </cell>
        </row>
        <row r="119">
          <cell r="D119" t="str">
            <v>Cancellation of a License to Practice as a Pharmacist</v>
          </cell>
          <cell r="E119" t="str">
            <v>الغاء الترخيص بمزاولة مهنة الصيدلة</v>
          </cell>
        </row>
        <row r="120">
          <cell r="D120" t="str">
            <v>Renewal of a License to Practice as a Pharmacist</v>
          </cell>
          <cell r="E120" t="str">
            <v>تجديد ترخيص مزاولة مهنة الصيدلة</v>
          </cell>
        </row>
        <row r="121">
          <cell r="D121" t="str">
            <v>Registration of a Change to the Professional Title of a Pharmacist</v>
          </cell>
          <cell r="E121" t="str">
            <v>تغيير المسمى المهني لمزاولة مهنة الصيدلة</v>
          </cell>
        </row>
        <row r="122">
          <cell r="D122" t="str">
            <v>Transfer License for practicing the profession of pharmacist</v>
          </cell>
          <cell r="E122" t="str">
            <v>نقل ترخيص مزاولة مهنة الصيدلة</v>
          </cell>
        </row>
        <row r="123">
          <cell r="D123" t="str">
            <v>Provide controlled drugs prescription book</v>
          </cell>
          <cell r="E123" t="str">
            <v>صرف دفتر وصفات أدوية مراقبة</v>
          </cell>
        </row>
        <row r="124">
          <cell r="D124" t="str">
            <v>Healthcare Professional Evaluation</v>
          </cell>
          <cell r="E124" t="str">
            <v>تقييم المهني الصحي</v>
          </cell>
        </row>
        <row r="125">
          <cell r="D125" t="str">
            <v>Approve narcotic drugs for one day surgery centers</v>
          </cell>
          <cell r="E125" t="str">
            <v>اعتماد العقاقير المخدرة لمراكز جراحة اليوم الواحد</v>
          </cell>
        </row>
        <row r="126">
          <cell r="D126" t="str">
            <v>Renewal of Registration of a Pharmaceutical Product Derived from Natural Sources</v>
          </cell>
          <cell r="E126" t="str">
            <v>تجديد تسجيل منتج صيدلاني مستمد من مصادر طبيعية</v>
          </cell>
        </row>
        <row r="127">
          <cell r="D127" t="str">
            <v>Reporting Side Effects of Medicines and Medical Products within UAE</v>
          </cell>
          <cell r="E127" t="str">
            <v>الابلاغ عن الآثار الجانبية للأدوية والمنتجات الطبية في الدولة</v>
          </cell>
        </row>
        <row r="128">
          <cell r="D128" t="str">
            <v>Classification of a Product</v>
          </cell>
          <cell r="E128" t="str">
            <v>تصنيف منتج</v>
          </cell>
        </row>
        <row r="129">
          <cell r="D129" t="str">
            <v>Determine or modify the Narcotic drugs quotas of a Private Health or Pharmaceutical Institution</v>
          </cell>
          <cell r="E129" t="str">
            <v>تحديد أو تعديل حصص الأدوية المخدرة لمنشأة صحية خاصة أو مؤسسة صيدلانية</v>
          </cell>
        </row>
        <row r="130">
          <cell r="D130" t="str">
            <v>Support and Coordination of health Research</v>
          </cell>
          <cell r="E130" t="str">
            <v>الدعم والتنسيق لإجراء بحث صحي</v>
          </cell>
        </row>
        <row r="131">
          <cell r="D131" t="str">
            <v>Issue of Permit to Import Medicines for Personal Use</v>
          </cell>
          <cell r="E131" t="str">
            <v>إصدار إذن استيراد أدوية شخصية</v>
          </cell>
        </row>
        <row r="132">
          <cell r="D132" t="str">
            <v>Application to Change the Name of a Pharmaceutical Facility</v>
          </cell>
          <cell r="E132" t="str">
            <v>طلب تغيير اسم المنشأة الصيدلانية</v>
          </cell>
        </row>
        <row r="133">
          <cell r="D133" t="str">
            <v>Changing the Location of a Private Medical Facility</v>
          </cell>
          <cell r="E133" t="str">
            <v>تغيير موقع المنشأة الطبية الخاصة</v>
          </cell>
        </row>
        <row r="134">
          <cell r="D134" t="str">
            <v>Changing the Licensed Ownership of Private Medical Facilities</v>
          </cell>
          <cell r="E134" t="str">
            <v>تغيير ملكية المنشآت الطبية الخاصة المرخصة</v>
          </cell>
        </row>
        <row r="135">
          <cell r="D135" t="str">
            <v>Adding a New Specialty to Private Health Facilities</v>
          </cell>
          <cell r="E135" t="str">
            <v>إضافة تخصص جديد للمنشآت الصحية الخاصة</v>
          </cell>
        </row>
        <row r="136">
          <cell r="D136" t="str">
            <v>Changing the type of Medical activity of Private Health Facilities</v>
          </cell>
          <cell r="E136" t="str">
            <v>تغيير نوع النشاط الطبي للمنشآت الصحية الخاصة</v>
          </cell>
        </row>
        <row r="137">
          <cell r="D137" t="str">
            <v>Changing the Technical Director of a Private Medical Facility</v>
          </cell>
          <cell r="E137" t="str">
            <v>تغيير المدير الفني للمنشأة الطبية الخاصة</v>
          </cell>
        </row>
        <row r="138">
          <cell r="D138" t="str">
            <v>Adding a Partner in a Private Medical Facility</v>
          </cell>
          <cell r="E138" t="str">
            <v>إضافة شريك في المنشأة الطبية الخاصة</v>
          </cell>
        </row>
        <row r="139">
          <cell r="D139" t="str">
            <v>License for a Healthcare Advertisement Related to a Healthcare Event</v>
          </cell>
          <cell r="E139" t="str">
            <v>ترخيص إعلان صحي متعلق بحدث صحي</v>
          </cell>
        </row>
        <row r="140">
          <cell r="D140" t="str">
            <v>License for a Healthcare Advertisement through Call Centers</v>
          </cell>
          <cell r="E140" t="str">
            <v>ترخيص إعلان صحي عبر مراكز الاتصال</v>
          </cell>
        </row>
        <row r="141">
          <cell r="D141" t="str">
            <v>Renewal of License for Healthcare Advertising through Call Centers</v>
          </cell>
          <cell r="E141" t="str">
            <v>تجديد ترخيص الإعلان الصحي عبر مراكز الاتصال</v>
          </cell>
        </row>
        <row r="142">
          <cell r="D142" t="str">
            <v>License for Healthcare Advertisement on Social Media</v>
          </cell>
          <cell r="E142" t="str">
            <v>ترخيص إعلان صحي على وسائل التواصل الاجتماعي</v>
          </cell>
        </row>
        <row r="143">
          <cell r="D143" t="str">
            <v>Renewal of License for Healthcare Advertisement on Social Media</v>
          </cell>
          <cell r="E143" t="str">
            <v>تجديد ترخيص الإعلان الصحي على وسائل التواصل الاجتماعي</v>
          </cell>
        </row>
        <row r="144">
          <cell r="D144" t="str">
            <v>License of healthcare advertisement for a Licensed Healthcare Institution in the UAE</v>
          </cell>
          <cell r="E144" t="str">
            <v>ترخيص إعلان صحي لمؤسسة صحية مرخصة في دولة الإمارات</v>
          </cell>
        </row>
        <row r="145">
          <cell r="D145" t="str">
            <v>Renewal of a Healthcare Advertisement License for non Healthcare Institution</v>
          </cell>
          <cell r="E145" t="str">
            <v>تجديد ترخيص إعلان صحي لمؤسسة غير صحية</v>
          </cell>
        </row>
        <row r="146">
          <cell r="D146" t="str">
            <v>Renew License of healthcare advertisement for a Licensed Healthcare Institution in the UAE</v>
          </cell>
          <cell r="E146" t="str">
            <v>تجديد ترخيص إعلان صحي لمؤسسة صحية مرخصة في دولة الإمارات</v>
          </cell>
        </row>
        <row r="147">
          <cell r="D147" t="str">
            <v>License for Healthcare Advertisement for a Non-Healthcare Institution</v>
          </cell>
          <cell r="E147" t="str">
            <v>ترخيص إعلان صحي لمؤسسة غير صحية</v>
          </cell>
        </row>
        <row r="148">
          <cell r="D148" t="str">
            <v>License for a Healthcare Advertisement on a Website or Digital Link</v>
          </cell>
          <cell r="E148" t="str">
            <v>ترخيص إعلان صحي على موقع إلكتروني أو رابط رقمي</v>
          </cell>
        </row>
        <row r="149">
          <cell r="D149" t="str">
            <v>Renewal of License for a Healthcare Advertisement on a Website or Digital Link</v>
          </cell>
          <cell r="E149" t="str">
            <v>تجديد ترخيص إعلان صحي على موقع إلكتروني أو رابط رقمي</v>
          </cell>
        </row>
        <row r="150">
          <cell r="D150" t="str">
            <v>Inspection of Medical Facilities</v>
          </cell>
          <cell r="E150" t="str">
            <v>تفتيش المنشآت الطبية</v>
          </cell>
        </row>
        <row r="151">
          <cell r="D151" t="str">
            <v>Monitoring of Health Advertisements</v>
          </cell>
          <cell r="E151" t="str">
            <v>مراقبة الإعلانات الصحية</v>
          </cell>
        </row>
        <row r="152">
          <cell r="D152" t="str">
            <v>Accreditation of Medical Committee for Request for Retirement or Medical Disability</v>
          </cell>
          <cell r="E152" t="str">
            <v>اعتماد اللجنة الطبية لطلب التقاعد أو العجز الطبي</v>
          </cell>
        </row>
        <row r="153">
          <cell r="D153" t="str">
            <v>Issue of a Birth Certificate</v>
          </cell>
          <cell r="E153" t="str">
            <v>إصدار شهادة ميلاد</v>
          </cell>
        </row>
        <row r="154">
          <cell r="D154" t="str">
            <v>Modification of Birth Certificate Details</v>
          </cell>
          <cell r="E154" t="str">
            <v>تعديل بيانات شهادة الميلاد</v>
          </cell>
        </row>
        <row r="155">
          <cell r="D155" t="str">
            <v>Issue of an Authenticated Copy of Birth Certificate</v>
          </cell>
          <cell r="E155" t="str">
            <v>إصدار نسخة مصدقة من شهادة الميلاد</v>
          </cell>
        </row>
        <row r="156">
          <cell r="D156" t="str">
            <v>Issue of a Replacement for Lost Birth Certificate</v>
          </cell>
          <cell r="E156" t="str">
            <v>إصدار بديل لشهادة ميلاد مفقودة</v>
          </cell>
        </row>
        <row r="157">
          <cell r="D157" t="str">
            <v>Issue of a Death Certificate</v>
          </cell>
          <cell r="E157" t="str">
            <v>إصدار شهادة وفاة</v>
          </cell>
        </row>
        <row r="158">
          <cell r="D158" t="str">
            <v>Issue of a Replacement of a Lost Death Certificate</v>
          </cell>
          <cell r="E158" t="str">
            <v>إصدار بديل لشهادة وفاة مفقودة</v>
          </cell>
        </row>
        <row r="159">
          <cell r="D159" t="str">
            <v>Issue of an Authenticated Copy of Death Certificate</v>
          </cell>
          <cell r="E159" t="str">
            <v>إصدار نسخة مصدقة من شهادة الوفاة</v>
          </cell>
        </row>
        <row r="160">
          <cell r="D160" t="str">
            <v>Issue of Age Estimation Certificate</v>
          </cell>
          <cell r="E160" t="str">
            <v>إصدار شهادة تقدير العمر</v>
          </cell>
        </row>
        <row r="161">
          <cell r="D161" t="str">
            <v>Request for Statistics related to the World Health Organization (WHO) Annual Report and the Annual Global Competitiveness Report</v>
          </cell>
          <cell r="E161" t="str">
            <v>طلب إحصائيات متعلقة بالتقرير السنوي لمنظمة الصحة العالمية (WHO) وتقرير التنافسية العالمية السنوي</v>
          </cell>
        </row>
        <row r="162">
          <cell r="D162" t="str">
            <v>Apply for Educational Material</v>
          </cell>
          <cell r="E162" t="str">
            <v>التقدم للحصول على مواد تعليمية</v>
          </cell>
        </row>
        <row r="163">
          <cell r="D163" t="str">
            <v>Issue of Good Professional Conduct Certificates for Professionals in the Private Health Sector</v>
          </cell>
          <cell r="E163" t="str">
            <v>إصدار شهادات حسن السيرة والسلوك للمهنيين في القطاع الصحي الخاص</v>
          </cell>
        </row>
        <row r="164">
          <cell r="D164" t="str">
            <v>Renewal of a Good Professional Conduct Certificate for Professionals in the Private Health Sector</v>
          </cell>
          <cell r="E164" t="str">
            <v>تجديد شهادة حسن السيرة والسلوك للمهنيين في القطاع الصحي الخاص</v>
          </cell>
        </row>
        <row r="165">
          <cell r="D165" t="str">
            <v>Renewal of Good Professional Conduct Certificates for Professionals in the Government Health Sector</v>
          </cell>
          <cell r="E165" t="str">
            <v>تجديد شهادات حسن السيرة والسلوك للمهنيين في القطاع الصحي الحكومي</v>
          </cell>
        </row>
        <row r="166">
          <cell r="D166" t="str">
            <v>MOHAP E-Services</v>
          </cell>
          <cell r="E166" t="str">
            <v>خدمات وزارة الصحة (استفسارات والشكاوي)</v>
          </cell>
        </row>
        <row r="167">
          <cell r="D167" t="str">
            <v>License for a Healthcare Program</v>
          </cell>
          <cell r="E167" t="str">
            <v>ترخيص لبرنامج صحي</v>
          </cell>
        </row>
        <row r="168">
          <cell r="D168" t="str">
            <v>Registration of Nurses and Midwives</v>
          </cell>
          <cell r="E168" t="str">
            <v>تسجيل الممرضين والقابلات</v>
          </cell>
        </row>
        <row r="169">
          <cell r="D169" t="str">
            <v>Request to speak to a governmental Employee</v>
          </cell>
          <cell r="E169" t="str">
            <v>طلب التحدث إلى موظف حكومي</v>
          </cell>
        </row>
        <row r="170">
          <cell r="D170" t="str">
            <v>Receipt of Medical Issues Referred by Other Entities</v>
          </cell>
          <cell r="E170" t="str">
            <v>استلام القضايا الطبية المحالة من جهات أخرى</v>
          </cell>
        </row>
        <row r="171">
          <cell r="D171" t="str">
            <v>Inspection of Pharmaceutical Facilities</v>
          </cell>
          <cell r="E171" t="str">
            <v>تفتيش المنشآت الصيدلانية</v>
          </cell>
        </row>
        <row r="172">
          <cell r="D172" t="str">
            <v>Tatmeen</v>
          </cell>
          <cell r="E172" t="str">
            <v>تطمين (Tatmeen)</v>
          </cell>
        </row>
        <row r="173">
          <cell r="D173" t="str">
            <v>Golden Visa</v>
          </cell>
          <cell r="E173" t="str">
            <v>التأشيرة الذهبية</v>
          </cell>
        </row>
        <row r="174">
          <cell r="D174" t="str">
            <v>Al Hosn Application</v>
          </cell>
          <cell r="E174" t="str">
            <v>تطبيق الحصن</v>
          </cell>
        </row>
        <row r="175">
          <cell r="D175" t="str">
            <v>NOC For Tawam Hospital</v>
          </cell>
          <cell r="E175" t="str">
            <v>شهادة عدم ممانعة لمستشفى توام</v>
          </cell>
        </row>
        <row r="176">
          <cell r="D176" t="str">
            <v>Issue of a Health Card for people of determination</v>
          </cell>
          <cell r="E176" t="str">
            <v>إصدار بطاقة صحية لأصحاب الهمم</v>
          </cell>
        </row>
        <row r="177">
          <cell r="D177" t="str">
            <v>Assessment of Nursing and Midwifery staff at Government Facilities in the UAE</v>
          </cell>
          <cell r="E177" t="str">
            <v>تقييم كوادر التمريض والقبالة في المنشآت الحكومية في دولة الإمارات</v>
          </cell>
        </row>
        <row r="178">
          <cell r="D178" t="str">
            <v>Mobile Application</v>
          </cell>
          <cell r="E178" t="str">
            <v>تطبيق للهاتف المتحرك</v>
          </cell>
        </row>
        <row r="179">
          <cell r="D179" t="str">
            <v>Renewal of a Health Card for people of determination</v>
          </cell>
          <cell r="E179" t="str">
            <v>تجديد بطاقة صحية لأصحاب الهمم</v>
          </cell>
        </row>
        <row r="180">
          <cell r="D180" t="str">
            <v>Final Approval for Licensing / Re-licensing Health Facility</v>
          </cell>
          <cell r="E180" t="str">
            <v>الموافقة النهائية لترخيص/إعادة ترخيص منشأة صحية</v>
          </cell>
        </row>
        <row r="181">
          <cell r="D181" t="str">
            <v>Amending of health facility license</v>
          </cell>
          <cell r="E181" t="str">
            <v>تعديل ترخيص منشأة صحية</v>
          </cell>
        </row>
        <row r="182">
          <cell r="D182" t="str">
            <v>Renewal of Health Professional License</v>
          </cell>
          <cell r="E182" t="str">
            <v>تجديد ترخيص المهني الصحي</v>
          </cell>
        </row>
        <row r="183">
          <cell r="D183" t="str">
            <v>Initial Approval for Licensing/ Re-licensing Health Facility</v>
          </cell>
          <cell r="E183" t="str">
            <v>الموافقة المبدئية لترخيص/إعادة ترخيص منشأة صحية</v>
          </cell>
        </row>
        <row r="184">
          <cell r="D184" t="str">
            <v>Inspection for Licensing/ Re-licensing Health Facility</v>
          </cell>
          <cell r="E184" t="str">
            <v>التفتيش لغرض الترخيص/إعادة ترخيص منشأة صحية</v>
          </cell>
        </row>
        <row r="185">
          <cell r="D185" t="str">
            <v>Transfer a Health professional license</v>
          </cell>
          <cell r="E185" t="str">
            <v>نقل ترخيص للمهني الصحي</v>
          </cell>
        </row>
        <row r="186">
          <cell r="D186" t="str">
            <v>Licensing or Re-licensing of Health Professional</v>
          </cell>
          <cell r="E186" t="str">
            <v>ترخيص أو إعادة ترخيص المهني الصحي</v>
          </cell>
        </row>
        <row r="187">
          <cell r="D187" t="str">
            <v>Issue a good standing certificate for a Pharmacist</v>
          </cell>
          <cell r="E187" t="str">
            <v>إصدار شهادة حسن السيرة المهنية للصيدلي</v>
          </cell>
        </row>
        <row r="188">
          <cell r="D188" t="str">
            <v>Cancellation of Health Professional License</v>
          </cell>
          <cell r="E188" t="str">
            <v>إلغاء ترخيص المهني الصحي</v>
          </cell>
        </row>
        <row r="189">
          <cell r="D189" t="str">
            <v>Licensing a Visiting Doctor</v>
          </cell>
          <cell r="E189" t="str">
            <v>ترخيص طبيب زائر</v>
          </cell>
        </row>
        <row r="190">
          <cell r="D190" t="str">
            <v>Change Title of licensed Health Professional</v>
          </cell>
          <cell r="E190" t="str">
            <v>تغيير المسمى الوظيفي للمهني الصحي المرخص</v>
          </cell>
        </row>
        <row r="191">
          <cell r="D191" t="str">
            <v>Transfer License from DHA/DOH</v>
          </cell>
          <cell r="E191" t="str">
            <v>نقل ترخيص من هيئة الصحة بدبي / دائرة الصحة أبوظبي</v>
          </cell>
        </row>
        <row r="192">
          <cell r="D192" t="str">
            <v>Drawing plan audit /approval of Medical Facilities</v>
          </cell>
          <cell r="E192" t="str">
            <v>تدقيق / اعتماد المخططات الهندسية للمنشآت الطبية</v>
          </cell>
        </row>
        <row r="193">
          <cell r="D193" t="str">
            <v>Engineering inspection of Medical Facilities</v>
          </cell>
          <cell r="E193" t="str">
            <v>التفتيش الهندسي على المنشآت الطبية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A8B9-B485-4356-8E82-16BE2C542CC0}">
  <dimension ref="A1:QI189"/>
  <sheetViews>
    <sheetView topLeftCell="A82" zoomScale="70" zoomScaleNormal="70" workbookViewId="0">
      <selection activeCell="AD30" sqref="AD30"/>
    </sheetView>
  </sheetViews>
  <sheetFormatPr baseColWidth="10" defaultColWidth="8.83203125" defaultRowHeight="15" x14ac:dyDescent="0.2"/>
  <cols>
    <col min="1" max="1" width="86.83203125" bestFit="1" customWidth="1"/>
  </cols>
  <sheetData>
    <row r="1" spans="1:15" x14ac:dyDescent="0.2">
      <c r="D1" s="1" t="str">
        <f>HYPERLINK("#"&amp;"Index!$A$1"&amp;"","Home")</f>
        <v>Home</v>
      </c>
      <c r="E1" s="2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10</v>
      </c>
      <c r="C2" t="s">
        <v>11</v>
      </c>
      <c r="F2">
        <v>0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13</v>
      </c>
      <c r="M2" t="s">
        <v>12</v>
      </c>
      <c r="N2">
        <v>0</v>
      </c>
      <c r="O2" t="s">
        <v>12</v>
      </c>
    </row>
    <row r="3" spans="1:15" x14ac:dyDescent="0.2">
      <c r="C3" t="s">
        <v>14</v>
      </c>
      <c r="F3">
        <v>0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13</v>
      </c>
      <c r="M3" t="s">
        <v>12</v>
      </c>
      <c r="N3">
        <v>0</v>
      </c>
      <c r="O3" t="s">
        <v>12</v>
      </c>
    </row>
    <row r="4" spans="1:15" x14ac:dyDescent="0.2">
      <c r="C4" t="s">
        <v>15</v>
      </c>
      <c r="F4">
        <v>0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13</v>
      </c>
      <c r="M4" t="s">
        <v>12</v>
      </c>
      <c r="N4">
        <v>0</v>
      </c>
      <c r="O4" t="s">
        <v>12</v>
      </c>
    </row>
    <row r="5" spans="1:15" x14ac:dyDescent="0.2">
      <c r="C5" t="s">
        <v>16</v>
      </c>
      <c r="F5">
        <v>1000</v>
      </c>
      <c r="G5" s="3">
        <v>0.66400000000000003</v>
      </c>
      <c r="H5" s="3">
        <v>0.21</v>
      </c>
      <c r="I5" s="3">
        <v>9.4E-2</v>
      </c>
      <c r="J5" s="3">
        <v>0.02</v>
      </c>
      <c r="K5" s="3">
        <v>1.2E-2</v>
      </c>
      <c r="L5" t="s">
        <v>13</v>
      </c>
      <c r="M5" s="3">
        <v>1</v>
      </c>
      <c r="N5">
        <v>4.5</v>
      </c>
      <c r="O5" s="3">
        <v>0.874</v>
      </c>
    </row>
    <row r="6" spans="1:15" x14ac:dyDescent="0.2">
      <c r="C6" t="s">
        <v>17</v>
      </c>
      <c r="F6">
        <v>1000</v>
      </c>
      <c r="G6" s="3">
        <v>0.75600000000000001</v>
      </c>
      <c r="H6" s="3">
        <v>0.16400000000000001</v>
      </c>
      <c r="I6" s="3">
        <v>5.8999999999999997E-2</v>
      </c>
      <c r="J6" s="3">
        <v>0.01</v>
      </c>
      <c r="K6" s="3">
        <v>1.0999999999999999E-2</v>
      </c>
      <c r="L6" t="s">
        <v>13</v>
      </c>
      <c r="M6" s="3">
        <v>1</v>
      </c>
      <c r="N6">
        <v>4.5999999999999996</v>
      </c>
      <c r="O6" s="3">
        <v>0.92</v>
      </c>
    </row>
    <row r="7" spans="1:15" x14ac:dyDescent="0.2">
      <c r="C7" t="s">
        <v>18</v>
      </c>
      <c r="F7">
        <v>1000</v>
      </c>
      <c r="G7" s="3">
        <v>0.75</v>
      </c>
      <c r="H7" s="3">
        <v>0.16</v>
      </c>
      <c r="I7" s="3">
        <v>6.6000000000000003E-2</v>
      </c>
      <c r="J7" s="3">
        <v>1.0999999999999999E-2</v>
      </c>
      <c r="K7" s="3">
        <v>1.2999999999999999E-2</v>
      </c>
      <c r="L7" t="s">
        <v>13</v>
      </c>
      <c r="M7" s="3">
        <v>1</v>
      </c>
      <c r="N7">
        <v>4.5999999999999996</v>
      </c>
      <c r="O7" s="3">
        <v>0.91</v>
      </c>
    </row>
    <row r="8" spans="1:15" s="4" customFormat="1" x14ac:dyDescent="0.2"/>
    <row r="9" spans="1:15" x14ac:dyDescent="0.2">
      <c r="D9" s="1" t="str">
        <f>HYPERLINK("#"&amp;"Index!$A$1"&amp;"","Home")</f>
        <v>Home</v>
      </c>
      <c r="E9" s="2" t="s">
        <v>19</v>
      </c>
      <c r="F9" t="s">
        <v>20</v>
      </c>
      <c r="G9" t="s">
        <v>2</v>
      </c>
      <c r="H9" t="s">
        <v>3</v>
      </c>
      <c r="I9" t="s">
        <v>4</v>
      </c>
      <c r="J9" t="s">
        <v>5</v>
      </c>
      <c r="K9" t="s">
        <v>6</v>
      </c>
      <c r="M9" t="s">
        <v>7</v>
      </c>
      <c r="N9" t="s">
        <v>8</v>
      </c>
      <c r="O9" t="s">
        <v>9</v>
      </c>
    </row>
    <row r="10" spans="1:15" x14ac:dyDescent="0.2">
      <c r="A10" t="s">
        <v>21</v>
      </c>
      <c r="C10" t="s">
        <v>11</v>
      </c>
      <c r="F10">
        <v>0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13</v>
      </c>
      <c r="M10" t="s">
        <v>12</v>
      </c>
      <c r="N10">
        <v>0</v>
      </c>
      <c r="O10" t="s">
        <v>12</v>
      </c>
    </row>
    <row r="11" spans="1:15" x14ac:dyDescent="0.2">
      <c r="C11" t="s">
        <v>14</v>
      </c>
      <c r="F11">
        <v>0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13</v>
      </c>
      <c r="M11" t="s">
        <v>12</v>
      </c>
      <c r="N11">
        <v>0</v>
      </c>
      <c r="O11" t="s">
        <v>12</v>
      </c>
    </row>
    <row r="12" spans="1:15" x14ac:dyDescent="0.2">
      <c r="C12" t="s">
        <v>15</v>
      </c>
      <c r="F12">
        <v>0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13</v>
      </c>
      <c r="M12" t="s">
        <v>12</v>
      </c>
      <c r="N12">
        <v>0</v>
      </c>
      <c r="O12" t="s">
        <v>12</v>
      </c>
    </row>
    <row r="13" spans="1:15" x14ac:dyDescent="0.2">
      <c r="C13" t="s">
        <v>16</v>
      </c>
      <c r="F13">
        <v>1167</v>
      </c>
      <c r="G13" s="3">
        <v>0.67</v>
      </c>
      <c r="H13" s="3">
        <v>0.184</v>
      </c>
      <c r="I13" s="3">
        <v>0.10199999999999999</v>
      </c>
      <c r="J13" s="3">
        <v>2.4E-2</v>
      </c>
      <c r="K13" s="3">
        <v>0.02</v>
      </c>
      <c r="L13" t="s">
        <v>13</v>
      </c>
      <c r="M13" s="3">
        <v>1</v>
      </c>
      <c r="N13">
        <v>4.5</v>
      </c>
      <c r="O13" s="3">
        <v>0.85399999999999998</v>
      </c>
    </row>
    <row r="14" spans="1:15" x14ac:dyDescent="0.2">
      <c r="C14" t="s">
        <v>17</v>
      </c>
      <c r="F14">
        <v>1167</v>
      </c>
      <c r="G14" s="3">
        <v>0.78200000000000003</v>
      </c>
      <c r="H14" s="3">
        <v>0.13400000000000001</v>
      </c>
      <c r="I14" s="3">
        <v>0.06</v>
      </c>
      <c r="J14" s="3">
        <v>0.01</v>
      </c>
      <c r="K14" s="3">
        <v>1.4E-2</v>
      </c>
      <c r="L14" t="s">
        <v>13</v>
      </c>
      <c r="M14" s="3">
        <v>1</v>
      </c>
      <c r="N14">
        <v>4.7</v>
      </c>
      <c r="O14" s="3">
        <v>0.91600000000000004</v>
      </c>
    </row>
    <row r="15" spans="1:15" x14ac:dyDescent="0.2">
      <c r="C15" t="s">
        <v>18</v>
      </c>
      <c r="F15">
        <v>1167</v>
      </c>
      <c r="G15" s="3">
        <v>0.78600000000000003</v>
      </c>
      <c r="H15" s="3">
        <v>0.13500000000000001</v>
      </c>
      <c r="I15" s="3">
        <v>5.7000000000000002E-2</v>
      </c>
      <c r="J15" s="3">
        <v>1.2E-2</v>
      </c>
      <c r="K15" s="3">
        <v>0.01</v>
      </c>
      <c r="L15" t="s">
        <v>13</v>
      </c>
      <c r="M15" s="3">
        <v>1</v>
      </c>
      <c r="N15">
        <v>4.7</v>
      </c>
      <c r="O15" s="3">
        <v>0.92</v>
      </c>
    </row>
    <row r="16" spans="1:15" s="4" customFormat="1" x14ac:dyDescent="0.2"/>
    <row r="17" spans="1:15" x14ac:dyDescent="0.2">
      <c r="D17" s="1" t="str">
        <f>HYPERLINK("#"&amp;"Index!$A$1"&amp;"","Home")</f>
        <v>Home</v>
      </c>
      <c r="E17" s="2" t="s">
        <v>22</v>
      </c>
      <c r="F17" t="s">
        <v>1</v>
      </c>
      <c r="G17" t="s">
        <v>2</v>
      </c>
      <c r="H17" t="s">
        <v>3</v>
      </c>
      <c r="I17" t="s">
        <v>4</v>
      </c>
      <c r="J17" t="s">
        <v>5</v>
      </c>
      <c r="K17" t="s">
        <v>6</v>
      </c>
      <c r="M17" t="s">
        <v>7</v>
      </c>
      <c r="N17" t="s">
        <v>8</v>
      </c>
      <c r="O17" t="s">
        <v>9</v>
      </c>
    </row>
    <row r="18" spans="1:15" x14ac:dyDescent="0.2">
      <c r="A18" t="s">
        <v>23</v>
      </c>
      <c r="C18" t="s">
        <v>24</v>
      </c>
      <c r="F18">
        <v>0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13</v>
      </c>
      <c r="M18" t="s">
        <v>12</v>
      </c>
      <c r="N18">
        <v>0</v>
      </c>
      <c r="O18" t="s">
        <v>12</v>
      </c>
    </row>
    <row r="19" spans="1:15" x14ac:dyDescent="0.2">
      <c r="C19" t="s">
        <v>25</v>
      </c>
      <c r="F19">
        <v>0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13</v>
      </c>
      <c r="M19" t="s">
        <v>12</v>
      </c>
      <c r="N19">
        <v>0</v>
      </c>
      <c r="O19" t="s">
        <v>12</v>
      </c>
    </row>
    <row r="20" spans="1:15" x14ac:dyDescent="0.2">
      <c r="C20" t="s">
        <v>26</v>
      </c>
      <c r="F20">
        <v>1000</v>
      </c>
      <c r="G20" s="3">
        <v>0.82399999999999995</v>
      </c>
      <c r="H20" s="3">
        <v>0.11600000000000001</v>
      </c>
      <c r="I20" s="3">
        <v>0.04</v>
      </c>
      <c r="J20" s="3">
        <v>1.2999999999999999E-2</v>
      </c>
      <c r="K20" s="3">
        <v>7.0000000000000001E-3</v>
      </c>
      <c r="L20" t="s">
        <v>13</v>
      </c>
      <c r="M20" s="3">
        <v>1</v>
      </c>
      <c r="N20">
        <v>4.7</v>
      </c>
      <c r="O20" s="3">
        <v>0.94</v>
      </c>
    </row>
    <row r="21" spans="1:15" s="4" customFormat="1" x14ac:dyDescent="0.2"/>
    <row r="22" spans="1:15" x14ac:dyDescent="0.2">
      <c r="D22" s="1" t="str">
        <f>HYPERLINK("#"&amp;"Index!$A$1"&amp;"","Home")</f>
        <v>Home</v>
      </c>
      <c r="E22" s="2" t="s">
        <v>27</v>
      </c>
      <c r="F22" t="s">
        <v>28</v>
      </c>
      <c r="G22" t="s">
        <v>2</v>
      </c>
      <c r="H22" t="s">
        <v>3</v>
      </c>
      <c r="I22" t="s">
        <v>4</v>
      </c>
      <c r="J22" t="s">
        <v>5</v>
      </c>
      <c r="K22" t="s">
        <v>6</v>
      </c>
      <c r="M22" t="s">
        <v>7</v>
      </c>
      <c r="N22" t="s">
        <v>8</v>
      </c>
      <c r="O22" t="s">
        <v>9</v>
      </c>
    </row>
    <row r="23" spans="1:15" x14ac:dyDescent="0.2">
      <c r="A23" t="s">
        <v>29</v>
      </c>
      <c r="C23" t="s">
        <v>24</v>
      </c>
      <c r="F23">
        <v>0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13</v>
      </c>
      <c r="M23" t="s">
        <v>12</v>
      </c>
      <c r="N23">
        <v>0</v>
      </c>
      <c r="O23" t="s">
        <v>12</v>
      </c>
    </row>
    <row r="24" spans="1:15" x14ac:dyDescent="0.2">
      <c r="C24" t="s">
        <v>25</v>
      </c>
      <c r="F24">
        <v>0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13</v>
      </c>
      <c r="M24" t="s">
        <v>12</v>
      </c>
      <c r="N24">
        <v>0</v>
      </c>
      <c r="O24" t="s">
        <v>12</v>
      </c>
    </row>
    <row r="25" spans="1:15" x14ac:dyDescent="0.2">
      <c r="C25" t="s">
        <v>26</v>
      </c>
      <c r="F25">
        <v>1167</v>
      </c>
      <c r="G25" s="3">
        <v>0.85099999999999998</v>
      </c>
      <c r="H25" s="3">
        <v>9.2999999999999999E-2</v>
      </c>
      <c r="I25" s="3">
        <v>3.3000000000000002E-2</v>
      </c>
      <c r="J25" s="3">
        <v>1.0999999999999999E-2</v>
      </c>
      <c r="K25" s="3">
        <v>1.2999999999999999E-2</v>
      </c>
      <c r="L25" t="s">
        <v>13</v>
      </c>
      <c r="M25" s="3">
        <v>1</v>
      </c>
      <c r="N25">
        <v>4.8</v>
      </c>
      <c r="O25" s="3">
        <v>0.94299999999999995</v>
      </c>
    </row>
    <row r="26" spans="1:15" s="4" customFormat="1" x14ac:dyDescent="0.2"/>
    <row r="27" spans="1:15" x14ac:dyDescent="0.2">
      <c r="D27" s="1" t="str">
        <f>HYPERLINK("#"&amp;"Index!$A$1"&amp;"","Home")</f>
        <v>Home</v>
      </c>
      <c r="E27" s="2" t="s">
        <v>30</v>
      </c>
      <c r="F27" t="s">
        <v>31</v>
      </c>
      <c r="G27" t="s">
        <v>2</v>
      </c>
      <c r="H27" t="s">
        <v>3</v>
      </c>
      <c r="I27" t="s">
        <v>4</v>
      </c>
      <c r="J27" t="s">
        <v>5</v>
      </c>
      <c r="K27" t="s">
        <v>6</v>
      </c>
      <c r="M27" t="s">
        <v>7</v>
      </c>
      <c r="N27" t="s">
        <v>8</v>
      </c>
      <c r="O27" t="s">
        <v>9</v>
      </c>
    </row>
    <row r="28" spans="1:15" x14ac:dyDescent="0.2">
      <c r="A28" t="s">
        <v>32</v>
      </c>
      <c r="C28" t="s">
        <v>33</v>
      </c>
      <c r="F28">
        <v>955</v>
      </c>
      <c r="G28" s="3">
        <v>0.84</v>
      </c>
      <c r="H28" s="3">
        <v>9.1999999999999998E-2</v>
      </c>
      <c r="I28" s="3">
        <v>4.3999999999999997E-2</v>
      </c>
      <c r="J28" s="3">
        <v>1.4E-2</v>
      </c>
      <c r="K28" s="3">
        <v>0.01</v>
      </c>
      <c r="L28" t="s">
        <v>13</v>
      </c>
      <c r="M28" s="3">
        <v>1</v>
      </c>
      <c r="N28">
        <v>4.7</v>
      </c>
      <c r="O28" s="3">
        <v>0.93200000000000005</v>
      </c>
    </row>
    <row r="29" spans="1:15" x14ac:dyDescent="0.2">
      <c r="C29" t="s">
        <v>34</v>
      </c>
      <c r="F29">
        <v>994</v>
      </c>
      <c r="G29" s="3">
        <v>0.81499999999999995</v>
      </c>
      <c r="H29" s="3">
        <v>0.121</v>
      </c>
      <c r="I29" s="3">
        <v>4.7E-2</v>
      </c>
      <c r="J29" s="3">
        <v>1.0999999999999999E-2</v>
      </c>
      <c r="K29" s="3">
        <v>6.0000000000000001E-3</v>
      </c>
      <c r="L29" t="s">
        <v>13</v>
      </c>
      <c r="M29" s="3">
        <v>1</v>
      </c>
      <c r="N29">
        <v>4.7</v>
      </c>
      <c r="O29" s="3">
        <v>0.93600000000000005</v>
      </c>
    </row>
    <row r="30" spans="1:15" x14ac:dyDescent="0.2">
      <c r="C30" t="s">
        <v>35</v>
      </c>
      <c r="F30">
        <v>996</v>
      </c>
      <c r="G30" s="3">
        <v>0.755</v>
      </c>
      <c r="H30" s="3">
        <v>0.159</v>
      </c>
      <c r="I30" s="3">
        <v>5.8999999999999997E-2</v>
      </c>
      <c r="J30" s="3">
        <v>1.7000000000000001E-2</v>
      </c>
      <c r="K30" s="3">
        <v>0.01</v>
      </c>
      <c r="L30" t="s">
        <v>13</v>
      </c>
      <c r="M30" s="3">
        <v>1</v>
      </c>
      <c r="N30">
        <v>4.5999999999999996</v>
      </c>
      <c r="O30" s="3">
        <v>0.91400000000000003</v>
      </c>
    </row>
    <row r="31" spans="1:15" x14ac:dyDescent="0.2">
      <c r="C31" t="s">
        <v>36</v>
      </c>
      <c r="F31">
        <v>975</v>
      </c>
      <c r="G31" s="3">
        <v>0.747</v>
      </c>
      <c r="H31" s="3">
        <v>0.14399999999999999</v>
      </c>
      <c r="I31" s="3">
        <v>7.0000000000000007E-2</v>
      </c>
      <c r="J31" s="3">
        <v>2.5999999999999999E-2</v>
      </c>
      <c r="K31" s="3">
        <v>1.4E-2</v>
      </c>
      <c r="L31" t="s">
        <v>13</v>
      </c>
      <c r="M31" s="3">
        <v>1</v>
      </c>
      <c r="N31">
        <v>4.5999999999999996</v>
      </c>
      <c r="O31" s="3">
        <v>0.89</v>
      </c>
    </row>
    <row r="32" spans="1:15" x14ac:dyDescent="0.2">
      <c r="C32" t="s">
        <v>37</v>
      </c>
      <c r="F32">
        <v>787</v>
      </c>
      <c r="G32" s="3">
        <v>0.69399999999999995</v>
      </c>
      <c r="H32" s="3">
        <v>0.17</v>
      </c>
      <c r="I32" s="3">
        <v>7.8E-2</v>
      </c>
      <c r="J32" s="3">
        <v>3.3000000000000002E-2</v>
      </c>
      <c r="K32" s="3">
        <v>2.5000000000000001E-2</v>
      </c>
      <c r="L32" t="s">
        <v>13</v>
      </c>
      <c r="M32" s="3">
        <v>1</v>
      </c>
      <c r="N32">
        <v>4.5</v>
      </c>
      <c r="O32" s="3">
        <v>0.86399999999999999</v>
      </c>
    </row>
    <row r="33" spans="1:15" x14ac:dyDescent="0.2">
      <c r="C33" t="s">
        <v>38</v>
      </c>
      <c r="F33">
        <v>0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13</v>
      </c>
      <c r="M33" t="s">
        <v>12</v>
      </c>
      <c r="N33">
        <v>0</v>
      </c>
      <c r="O33" t="s">
        <v>12</v>
      </c>
    </row>
    <row r="34" spans="1:15" s="4" customFormat="1" x14ac:dyDescent="0.2"/>
    <row r="35" spans="1:15" x14ac:dyDescent="0.2">
      <c r="D35" s="1" t="str">
        <f>HYPERLINK("#"&amp;"Index!$A$1"&amp;"","Home")</f>
        <v>Home</v>
      </c>
      <c r="E35" s="2" t="s">
        <v>39</v>
      </c>
      <c r="F35" t="s">
        <v>40</v>
      </c>
      <c r="G35" t="s">
        <v>2</v>
      </c>
      <c r="H35" t="s">
        <v>3</v>
      </c>
      <c r="I35" t="s">
        <v>4</v>
      </c>
      <c r="J35" t="s">
        <v>5</v>
      </c>
      <c r="K35" t="s">
        <v>6</v>
      </c>
      <c r="M35" t="s">
        <v>7</v>
      </c>
      <c r="N35" t="s">
        <v>8</v>
      </c>
      <c r="O35" t="s">
        <v>9</v>
      </c>
    </row>
    <row r="36" spans="1:15" x14ac:dyDescent="0.2">
      <c r="A36" t="s">
        <v>41</v>
      </c>
      <c r="C36" t="s">
        <v>33</v>
      </c>
      <c r="F36">
        <v>1117</v>
      </c>
      <c r="G36" s="3">
        <v>0.83899999999999997</v>
      </c>
      <c r="H36" s="3">
        <v>0.10100000000000001</v>
      </c>
      <c r="I36" s="3">
        <v>3.5000000000000003E-2</v>
      </c>
      <c r="J36" s="3">
        <v>1.2999999999999999E-2</v>
      </c>
      <c r="K36" s="3">
        <v>1.2999999999999999E-2</v>
      </c>
      <c r="L36" t="s">
        <v>13</v>
      </c>
      <c r="M36" s="3">
        <v>1</v>
      </c>
      <c r="N36">
        <v>4.7</v>
      </c>
      <c r="O36" s="3">
        <v>0.94</v>
      </c>
    </row>
    <row r="37" spans="1:15" x14ac:dyDescent="0.2">
      <c r="C37" t="s">
        <v>34</v>
      </c>
      <c r="F37">
        <v>1164</v>
      </c>
      <c r="G37" s="3">
        <v>0.82699999999999996</v>
      </c>
      <c r="H37" s="3">
        <v>0.113</v>
      </c>
      <c r="I37" s="3">
        <v>3.7999999999999999E-2</v>
      </c>
      <c r="J37" s="3">
        <v>8.0000000000000002E-3</v>
      </c>
      <c r="K37" s="3">
        <v>1.4E-2</v>
      </c>
      <c r="L37" t="s">
        <v>13</v>
      </c>
      <c r="M37" s="3">
        <v>1</v>
      </c>
      <c r="N37">
        <v>4.7</v>
      </c>
      <c r="O37" s="3">
        <v>0.94099999999999995</v>
      </c>
    </row>
    <row r="38" spans="1:15" x14ac:dyDescent="0.2">
      <c r="C38" t="s">
        <v>35</v>
      </c>
      <c r="F38">
        <v>1165</v>
      </c>
      <c r="G38" s="3">
        <v>0.79700000000000004</v>
      </c>
      <c r="H38" s="3">
        <v>0.13800000000000001</v>
      </c>
      <c r="I38" s="3">
        <v>4.3999999999999997E-2</v>
      </c>
      <c r="J38" s="3">
        <v>1.0999999999999999E-2</v>
      </c>
      <c r="K38" s="3">
        <v>0.01</v>
      </c>
      <c r="L38" t="s">
        <v>13</v>
      </c>
      <c r="M38" s="3">
        <v>1</v>
      </c>
      <c r="N38">
        <v>4.7</v>
      </c>
      <c r="O38" s="3">
        <v>0.93500000000000005</v>
      </c>
    </row>
    <row r="39" spans="1:15" x14ac:dyDescent="0.2">
      <c r="C39" t="s">
        <v>36</v>
      </c>
      <c r="F39">
        <v>1147</v>
      </c>
      <c r="G39" s="3">
        <v>0.77600000000000002</v>
      </c>
      <c r="H39" s="3">
        <v>0.13600000000000001</v>
      </c>
      <c r="I39" s="3">
        <v>5.8000000000000003E-2</v>
      </c>
      <c r="J39" s="3">
        <v>1.6E-2</v>
      </c>
      <c r="K39" s="3">
        <v>1.4999999999999999E-2</v>
      </c>
      <c r="L39" t="s">
        <v>13</v>
      </c>
      <c r="M39" s="3">
        <v>1</v>
      </c>
      <c r="N39">
        <v>4.5999999999999996</v>
      </c>
      <c r="O39" s="3">
        <v>0.91200000000000003</v>
      </c>
    </row>
    <row r="40" spans="1:15" x14ac:dyDescent="0.2">
      <c r="C40" t="s">
        <v>37</v>
      </c>
      <c r="F40">
        <v>998</v>
      </c>
      <c r="G40" s="3">
        <v>0.72</v>
      </c>
      <c r="H40" s="3">
        <v>0.154</v>
      </c>
      <c r="I40" s="3">
        <v>0.08</v>
      </c>
      <c r="J40" s="3">
        <v>2.5000000000000001E-2</v>
      </c>
      <c r="K40" s="3">
        <v>0.02</v>
      </c>
      <c r="L40" t="s">
        <v>13</v>
      </c>
      <c r="M40" s="3">
        <v>1</v>
      </c>
      <c r="N40">
        <v>4.5</v>
      </c>
      <c r="O40" s="3">
        <v>0.875</v>
      </c>
    </row>
    <row r="41" spans="1:15" x14ac:dyDescent="0.2">
      <c r="C41" t="s">
        <v>38</v>
      </c>
      <c r="F41">
        <v>0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13</v>
      </c>
      <c r="M41" t="s">
        <v>12</v>
      </c>
      <c r="N41">
        <v>0</v>
      </c>
      <c r="O41" t="s">
        <v>12</v>
      </c>
    </row>
    <row r="42" spans="1:15" s="4" customFormat="1" x14ac:dyDescent="0.2"/>
    <row r="43" spans="1:15" x14ac:dyDescent="0.2">
      <c r="D43" s="1" t="str">
        <f>HYPERLINK("#"&amp;"Index!$A$1"&amp;"","Home")</f>
        <v>Home</v>
      </c>
      <c r="E43" s="2" t="s">
        <v>42</v>
      </c>
      <c r="F43" t="s">
        <v>43</v>
      </c>
      <c r="G43" t="s">
        <v>2</v>
      </c>
      <c r="H43" t="s">
        <v>3</v>
      </c>
      <c r="I43" t="s">
        <v>4</v>
      </c>
      <c r="J43" t="s">
        <v>5</v>
      </c>
      <c r="K43" t="s">
        <v>6</v>
      </c>
      <c r="M43" t="s">
        <v>7</v>
      </c>
      <c r="N43" t="s">
        <v>8</v>
      </c>
      <c r="O43" t="s">
        <v>9</v>
      </c>
    </row>
    <row r="44" spans="1:15" x14ac:dyDescent="0.2">
      <c r="A44" t="s">
        <v>44</v>
      </c>
      <c r="C44" t="s">
        <v>45</v>
      </c>
      <c r="F44">
        <v>0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13</v>
      </c>
      <c r="M44" t="s">
        <v>12</v>
      </c>
      <c r="N44">
        <v>0</v>
      </c>
      <c r="O44" t="s">
        <v>12</v>
      </c>
    </row>
    <row r="45" spans="1:15" x14ac:dyDescent="0.2">
      <c r="C45" t="s">
        <v>46</v>
      </c>
      <c r="F45">
        <v>0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13</v>
      </c>
      <c r="M45" t="s">
        <v>12</v>
      </c>
      <c r="N45">
        <v>0</v>
      </c>
      <c r="O45" t="s">
        <v>12</v>
      </c>
    </row>
    <row r="46" spans="1:15" x14ac:dyDescent="0.2">
      <c r="C46" t="s">
        <v>47</v>
      </c>
      <c r="F46">
        <v>996</v>
      </c>
      <c r="G46" s="3">
        <v>0.77</v>
      </c>
      <c r="H46" s="3">
        <v>0.156</v>
      </c>
      <c r="I46" s="3">
        <v>4.5999999999999999E-2</v>
      </c>
      <c r="J46" s="3">
        <v>1.4E-2</v>
      </c>
      <c r="K46" s="3">
        <v>1.4E-2</v>
      </c>
      <c r="L46" t="s">
        <v>13</v>
      </c>
      <c r="M46" s="3">
        <v>1</v>
      </c>
      <c r="N46">
        <v>4.7</v>
      </c>
      <c r="O46" s="3">
        <v>0.92600000000000005</v>
      </c>
    </row>
    <row r="47" spans="1:15" s="4" customFormat="1" x14ac:dyDescent="0.2"/>
    <row r="48" spans="1:15" x14ac:dyDescent="0.2">
      <c r="D48" s="1" t="str">
        <f>HYPERLINK("#"&amp;"Index!$A$1"&amp;"","Home")</f>
        <v>Home</v>
      </c>
      <c r="E48" s="2" t="s">
        <v>48</v>
      </c>
      <c r="F48" t="s">
        <v>40</v>
      </c>
      <c r="G48" t="s">
        <v>2</v>
      </c>
      <c r="H48" t="s">
        <v>3</v>
      </c>
      <c r="I48" t="s">
        <v>4</v>
      </c>
      <c r="J48" t="s">
        <v>5</v>
      </c>
      <c r="K48" t="s">
        <v>6</v>
      </c>
      <c r="M48" t="s">
        <v>7</v>
      </c>
      <c r="N48" t="s">
        <v>8</v>
      </c>
      <c r="O48" t="s">
        <v>9</v>
      </c>
    </row>
    <row r="49" spans="1:15" x14ac:dyDescent="0.2">
      <c r="A49" t="s">
        <v>49</v>
      </c>
      <c r="C49" t="s">
        <v>45</v>
      </c>
      <c r="F49">
        <v>0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13</v>
      </c>
      <c r="M49" t="s">
        <v>12</v>
      </c>
      <c r="N49">
        <v>0</v>
      </c>
      <c r="O49" t="s">
        <v>12</v>
      </c>
    </row>
    <row r="50" spans="1:15" x14ac:dyDescent="0.2">
      <c r="C50" t="s">
        <v>46</v>
      </c>
      <c r="F50">
        <v>0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13</v>
      </c>
      <c r="M50" t="s">
        <v>12</v>
      </c>
      <c r="N50">
        <v>0</v>
      </c>
      <c r="O50" t="s">
        <v>12</v>
      </c>
    </row>
    <row r="51" spans="1:15" x14ac:dyDescent="0.2">
      <c r="C51" t="s">
        <v>47</v>
      </c>
      <c r="F51">
        <v>1160</v>
      </c>
      <c r="G51" s="3">
        <v>0.77800000000000002</v>
      </c>
      <c r="H51" s="3">
        <v>0.14399999999999999</v>
      </c>
      <c r="I51" s="3">
        <v>4.9000000000000002E-2</v>
      </c>
      <c r="J51" s="3">
        <v>1.2E-2</v>
      </c>
      <c r="K51" s="3">
        <v>1.7000000000000001E-2</v>
      </c>
      <c r="L51" t="s">
        <v>13</v>
      </c>
      <c r="M51" s="3">
        <v>1</v>
      </c>
      <c r="N51">
        <v>4.7</v>
      </c>
      <c r="O51" s="3">
        <v>0.92200000000000004</v>
      </c>
    </row>
    <row r="52" spans="1:15" s="4" customFormat="1" x14ac:dyDescent="0.2"/>
    <row r="53" spans="1:15" x14ac:dyDescent="0.2">
      <c r="D53" s="1" t="str">
        <f>HYPERLINK("#"&amp;"Index!$A$1"&amp;"","Home")</f>
        <v>Home</v>
      </c>
      <c r="E53" s="2" t="s">
        <v>50</v>
      </c>
      <c r="F53" t="s">
        <v>31</v>
      </c>
      <c r="G53" t="s">
        <v>2</v>
      </c>
      <c r="H53" t="s">
        <v>3</v>
      </c>
      <c r="I53" t="s">
        <v>4</v>
      </c>
      <c r="J53" t="s">
        <v>5</v>
      </c>
      <c r="K53" t="s">
        <v>6</v>
      </c>
      <c r="M53" t="s">
        <v>7</v>
      </c>
      <c r="N53" t="s">
        <v>8</v>
      </c>
      <c r="O53" t="s">
        <v>9</v>
      </c>
    </row>
    <row r="54" spans="1:15" x14ac:dyDescent="0.2">
      <c r="A54" t="s">
        <v>51</v>
      </c>
      <c r="C54" t="s">
        <v>52</v>
      </c>
      <c r="F54">
        <v>987</v>
      </c>
      <c r="G54" s="3">
        <v>0.90800000000000003</v>
      </c>
      <c r="H54" s="3">
        <v>7.3999999999999996E-2</v>
      </c>
      <c r="I54" s="3">
        <v>1.2E-2</v>
      </c>
      <c r="J54" s="3">
        <v>2E-3</v>
      </c>
      <c r="K54" s="3">
        <v>4.0000000000000001E-3</v>
      </c>
      <c r="L54" t="s">
        <v>13</v>
      </c>
      <c r="M54" s="3">
        <v>1</v>
      </c>
      <c r="N54">
        <v>4.9000000000000004</v>
      </c>
      <c r="O54" s="3">
        <v>0.98199999999999998</v>
      </c>
    </row>
    <row r="55" spans="1:15" x14ac:dyDescent="0.2">
      <c r="C55" t="s">
        <v>53</v>
      </c>
      <c r="F55">
        <v>0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13</v>
      </c>
      <c r="M55" t="s">
        <v>12</v>
      </c>
      <c r="N55">
        <v>0</v>
      </c>
      <c r="O55" t="s">
        <v>12</v>
      </c>
    </row>
    <row r="56" spans="1:15" s="4" customFormat="1" x14ac:dyDescent="0.2"/>
    <row r="57" spans="1:15" x14ac:dyDescent="0.2">
      <c r="D57" s="1" t="str">
        <f>HYPERLINK("#"&amp;"Index!$A$1"&amp;"","Home")</f>
        <v>Home</v>
      </c>
      <c r="E57" s="2" t="s">
        <v>54</v>
      </c>
      <c r="F57" t="s">
        <v>40</v>
      </c>
      <c r="G57" t="s">
        <v>2</v>
      </c>
      <c r="H57" t="s">
        <v>3</v>
      </c>
      <c r="I57" t="s">
        <v>4</v>
      </c>
      <c r="J57" t="s">
        <v>5</v>
      </c>
      <c r="K57" t="s">
        <v>6</v>
      </c>
      <c r="M57" t="s">
        <v>7</v>
      </c>
      <c r="N57" t="s">
        <v>8</v>
      </c>
      <c r="O57" t="s">
        <v>9</v>
      </c>
    </row>
    <row r="58" spans="1:15" x14ac:dyDescent="0.2">
      <c r="A58" t="s">
        <v>55</v>
      </c>
      <c r="C58" t="s">
        <v>52</v>
      </c>
      <c r="F58">
        <v>1153</v>
      </c>
      <c r="G58" s="3">
        <v>0.91800000000000004</v>
      </c>
      <c r="H58" s="3">
        <v>6.2E-2</v>
      </c>
      <c r="I58" s="3">
        <v>1.2999999999999999E-2</v>
      </c>
      <c r="J58" s="3">
        <v>2E-3</v>
      </c>
      <c r="K58" s="3">
        <v>5.0000000000000001E-3</v>
      </c>
      <c r="L58" t="s">
        <v>13</v>
      </c>
      <c r="M58" s="3">
        <v>1</v>
      </c>
      <c r="N58">
        <v>4.9000000000000004</v>
      </c>
      <c r="O58" s="3">
        <v>0.98</v>
      </c>
    </row>
    <row r="59" spans="1:15" x14ac:dyDescent="0.2">
      <c r="C59" t="s">
        <v>53</v>
      </c>
      <c r="F59">
        <v>0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13</v>
      </c>
      <c r="M59" t="s">
        <v>12</v>
      </c>
      <c r="N59">
        <v>0</v>
      </c>
      <c r="O59" t="s">
        <v>12</v>
      </c>
    </row>
    <row r="60" spans="1:15" s="5" customFormat="1" x14ac:dyDescent="0.2"/>
    <row r="61" spans="1:15" x14ac:dyDescent="0.2">
      <c r="A61" s="5"/>
      <c r="B61" s="5"/>
      <c r="D61" s="1" t="str">
        <f>HYPERLINK("#"&amp;"Index!$A$1"&amp;"","Home")</f>
        <v>Home</v>
      </c>
      <c r="E61" s="2" t="s">
        <v>56</v>
      </c>
      <c r="F61" t="s">
        <v>57</v>
      </c>
      <c r="G61" t="s">
        <v>58</v>
      </c>
      <c r="H61" t="s">
        <v>59</v>
      </c>
      <c r="I61" t="s">
        <v>4</v>
      </c>
      <c r="J61" t="s">
        <v>60</v>
      </c>
      <c r="K61" t="s">
        <v>61</v>
      </c>
      <c r="M61" t="s">
        <v>7</v>
      </c>
      <c r="N61" t="s">
        <v>8</v>
      </c>
      <c r="O61" t="s">
        <v>9</v>
      </c>
    </row>
    <row r="62" spans="1:15" x14ac:dyDescent="0.2">
      <c r="A62" s="5"/>
      <c r="B62" s="5"/>
      <c r="C62" t="s">
        <v>62</v>
      </c>
      <c r="F62">
        <v>1000</v>
      </c>
      <c r="G62" s="3">
        <v>0.77300000000000002</v>
      </c>
      <c r="H62" s="3">
        <v>0.17799999999999999</v>
      </c>
      <c r="I62" s="3">
        <v>0.03</v>
      </c>
      <c r="J62" s="3">
        <v>1.2999999999999999E-2</v>
      </c>
      <c r="K62" s="3">
        <v>6.0000000000000001E-3</v>
      </c>
      <c r="L62" t="s">
        <v>13</v>
      </c>
      <c r="M62" s="3">
        <v>1</v>
      </c>
      <c r="N62">
        <v>4.7</v>
      </c>
      <c r="O62" s="3">
        <v>0.95099999999999996</v>
      </c>
    </row>
    <row r="63" spans="1:15" x14ac:dyDescent="0.2">
      <c r="A63" s="5"/>
      <c r="B63" s="5"/>
      <c r="C63" t="s">
        <v>63</v>
      </c>
      <c r="F63">
        <v>1167</v>
      </c>
      <c r="G63" s="3">
        <v>0.80300000000000005</v>
      </c>
      <c r="H63" s="3">
        <v>0.151</v>
      </c>
      <c r="I63" s="3">
        <v>0.03</v>
      </c>
      <c r="J63" s="3">
        <v>8.9999999999999993E-3</v>
      </c>
      <c r="K63" s="3">
        <v>8.0000000000000002E-3</v>
      </c>
      <c r="L63" t="s">
        <v>13</v>
      </c>
      <c r="M63" s="3">
        <v>1</v>
      </c>
      <c r="N63">
        <v>4.7</v>
      </c>
      <c r="O63" s="3">
        <v>0.95399999999999996</v>
      </c>
    </row>
    <row r="64" spans="1:15" s="5" customFormat="1" x14ac:dyDescent="0.2"/>
    <row r="65" spans="1:15" x14ac:dyDescent="0.2">
      <c r="A65" s="5"/>
      <c r="B65" s="5"/>
      <c r="D65" s="1" t="str">
        <f>HYPERLINK("#"&amp;"Index!$A$1"&amp;"","Home")</f>
        <v>Home</v>
      </c>
      <c r="E65" s="2" t="s">
        <v>64</v>
      </c>
      <c r="F65" t="s">
        <v>57</v>
      </c>
      <c r="G65" t="s">
        <v>65</v>
      </c>
      <c r="H65" t="s">
        <v>66</v>
      </c>
      <c r="I65" t="s">
        <v>4</v>
      </c>
      <c r="J65" t="s">
        <v>67</v>
      </c>
      <c r="K65" t="s">
        <v>68</v>
      </c>
      <c r="M65" t="s">
        <v>7</v>
      </c>
      <c r="N65" t="s">
        <v>8</v>
      </c>
      <c r="O65" t="s">
        <v>9</v>
      </c>
    </row>
    <row r="66" spans="1:15" x14ac:dyDescent="0.2">
      <c r="A66" s="5"/>
      <c r="B66" s="5"/>
      <c r="C66" t="s">
        <v>62</v>
      </c>
      <c r="F66">
        <v>1000</v>
      </c>
      <c r="G66" s="3">
        <v>0.749</v>
      </c>
      <c r="H66" s="3">
        <v>0.186</v>
      </c>
      <c r="I66" s="3">
        <v>4.7E-2</v>
      </c>
      <c r="J66" s="3">
        <v>8.9999999999999993E-3</v>
      </c>
      <c r="K66" s="3">
        <v>8.9999999999999993E-3</v>
      </c>
      <c r="L66" t="s">
        <v>13</v>
      </c>
      <c r="M66" s="3">
        <v>1</v>
      </c>
      <c r="N66">
        <v>4.7</v>
      </c>
      <c r="O66" s="3">
        <v>0.93500000000000005</v>
      </c>
    </row>
    <row r="67" spans="1:15" x14ac:dyDescent="0.2">
      <c r="A67" s="5"/>
      <c r="B67" s="5"/>
      <c r="C67" t="s">
        <v>63</v>
      </c>
      <c r="F67">
        <v>1167</v>
      </c>
      <c r="G67" s="3">
        <v>0.78500000000000003</v>
      </c>
      <c r="H67" s="3">
        <v>0.14699999999999999</v>
      </c>
      <c r="I67" s="3">
        <v>0.05</v>
      </c>
      <c r="J67" s="3">
        <v>5.0000000000000001E-3</v>
      </c>
      <c r="K67" s="3">
        <v>1.2999999999999999E-2</v>
      </c>
      <c r="L67" t="s">
        <v>13</v>
      </c>
      <c r="M67" s="3">
        <v>1</v>
      </c>
      <c r="N67">
        <v>4.7</v>
      </c>
      <c r="O67" s="3">
        <v>0.93200000000000005</v>
      </c>
    </row>
    <row r="68" spans="1:15" s="5" customFormat="1" x14ac:dyDescent="0.2"/>
    <row r="69" spans="1:15" x14ac:dyDescent="0.2">
      <c r="D69" s="1" t="str">
        <f>HYPERLINK("#"&amp;"Index!$A$1"&amp;"","Home")</f>
        <v>Home</v>
      </c>
      <c r="E69" s="2" t="s">
        <v>69</v>
      </c>
      <c r="F69" t="s">
        <v>70</v>
      </c>
      <c r="G69" t="s">
        <v>2</v>
      </c>
      <c r="H69" t="s">
        <v>3</v>
      </c>
      <c r="I69" t="s">
        <v>4</v>
      </c>
      <c r="J69" t="s">
        <v>5</v>
      </c>
      <c r="K69" t="s">
        <v>6</v>
      </c>
      <c r="M69" t="s">
        <v>7</v>
      </c>
      <c r="N69" t="s">
        <v>8</v>
      </c>
      <c r="O69" t="s">
        <v>9</v>
      </c>
    </row>
    <row r="70" spans="1:15" x14ac:dyDescent="0.2">
      <c r="A70" t="s">
        <v>71</v>
      </c>
      <c r="C70" t="s">
        <v>72</v>
      </c>
      <c r="F70">
        <v>515</v>
      </c>
      <c r="G70" s="3">
        <v>0.81699999999999995</v>
      </c>
      <c r="H70" s="3">
        <v>0.13</v>
      </c>
      <c r="I70" s="3">
        <v>3.3000000000000002E-2</v>
      </c>
      <c r="J70" s="3">
        <v>6.0000000000000001E-3</v>
      </c>
      <c r="K70" s="3">
        <v>1.4E-2</v>
      </c>
      <c r="L70" t="s">
        <v>13</v>
      </c>
      <c r="M70" s="3">
        <v>1</v>
      </c>
      <c r="N70">
        <v>4.7</v>
      </c>
      <c r="O70" s="3">
        <v>0.94799999999999995</v>
      </c>
    </row>
    <row r="71" spans="1:15" x14ac:dyDescent="0.2">
      <c r="C71" t="s">
        <v>73</v>
      </c>
      <c r="F71">
        <v>515</v>
      </c>
      <c r="G71" s="3">
        <v>0.75700000000000001</v>
      </c>
      <c r="H71" s="3">
        <v>0.13</v>
      </c>
      <c r="I71" s="3">
        <v>5.3999999999999999E-2</v>
      </c>
      <c r="J71" s="3">
        <v>3.3000000000000002E-2</v>
      </c>
      <c r="K71" s="3">
        <v>2.5000000000000001E-2</v>
      </c>
      <c r="L71" t="s">
        <v>13</v>
      </c>
      <c r="M71" s="3">
        <v>1</v>
      </c>
      <c r="N71">
        <v>4.5999999999999996</v>
      </c>
      <c r="O71" s="3">
        <v>0.88700000000000001</v>
      </c>
    </row>
    <row r="72" spans="1:15" x14ac:dyDescent="0.2">
      <c r="C72" t="s">
        <v>74</v>
      </c>
      <c r="F72">
        <v>0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13</v>
      </c>
      <c r="M72" t="s">
        <v>12</v>
      </c>
      <c r="N72">
        <v>0</v>
      </c>
      <c r="O72" t="s">
        <v>12</v>
      </c>
    </row>
    <row r="73" spans="1:15" x14ac:dyDescent="0.2">
      <c r="C73" t="s">
        <v>75</v>
      </c>
      <c r="F73">
        <v>0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13</v>
      </c>
      <c r="M73" t="s">
        <v>12</v>
      </c>
      <c r="N73">
        <v>0</v>
      </c>
      <c r="O73" t="s">
        <v>12</v>
      </c>
    </row>
    <row r="74" spans="1:15" x14ac:dyDescent="0.2">
      <c r="C74" t="s">
        <v>17</v>
      </c>
      <c r="F74">
        <v>515</v>
      </c>
      <c r="G74" s="3">
        <v>0.66600000000000004</v>
      </c>
      <c r="H74" s="3">
        <v>0.159</v>
      </c>
      <c r="I74" s="3">
        <v>9.7000000000000003E-2</v>
      </c>
      <c r="J74" s="3">
        <v>3.3000000000000002E-2</v>
      </c>
      <c r="K74" s="3">
        <v>4.4999999999999998E-2</v>
      </c>
      <c r="L74" t="s">
        <v>13</v>
      </c>
      <c r="M74" s="3">
        <v>1</v>
      </c>
      <c r="N74">
        <v>4.4000000000000004</v>
      </c>
      <c r="O74" s="3">
        <v>0.82499999999999996</v>
      </c>
    </row>
    <row r="75" spans="1:15" x14ac:dyDescent="0.2">
      <c r="C75" t="s">
        <v>76</v>
      </c>
      <c r="F75">
        <v>515</v>
      </c>
      <c r="G75" s="3">
        <v>0.92600000000000005</v>
      </c>
      <c r="H75" s="3">
        <v>5.1999999999999998E-2</v>
      </c>
      <c r="I75" s="3">
        <v>1.4E-2</v>
      </c>
      <c r="J75" s="3">
        <v>4.0000000000000001E-3</v>
      </c>
      <c r="K75" s="3">
        <v>4.0000000000000001E-3</v>
      </c>
      <c r="L75" t="s">
        <v>13</v>
      </c>
      <c r="M75" s="3">
        <v>1</v>
      </c>
      <c r="N75">
        <v>4.9000000000000004</v>
      </c>
      <c r="O75" s="3">
        <v>0.97899999999999998</v>
      </c>
    </row>
    <row r="76" spans="1:15" x14ac:dyDescent="0.2">
      <c r="C76" t="s">
        <v>77</v>
      </c>
      <c r="F76">
        <v>515</v>
      </c>
      <c r="G76" s="3">
        <v>0.82299999999999995</v>
      </c>
      <c r="H76" s="3">
        <v>0.115</v>
      </c>
      <c r="I76" s="3">
        <v>3.9E-2</v>
      </c>
      <c r="J76" s="3">
        <v>6.0000000000000001E-3</v>
      </c>
      <c r="K76" s="3">
        <v>1.7000000000000001E-2</v>
      </c>
      <c r="L76" t="s">
        <v>13</v>
      </c>
      <c r="M76" s="3">
        <v>1</v>
      </c>
      <c r="N76">
        <v>4.7</v>
      </c>
      <c r="O76" s="3">
        <v>0.93799999999999994</v>
      </c>
    </row>
    <row r="77" spans="1:15" s="4" customFormat="1" x14ac:dyDescent="0.2"/>
    <row r="78" spans="1:15" x14ac:dyDescent="0.2">
      <c r="D78" s="1" t="str">
        <f>HYPERLINK("#"&amp;"Index!$A$1"&amp;"","Home")</f>
        <v>Home</v>
      </c>
      <c r="E78" s="2" t="s">
        <v>78</v>
      </c>
      <c r="F78" t="s">
        <v>79</v>
      </c>
      <c r="G78" t="s">
        <v>2</v>
      </c>
      <c r="H78" t="s">
        <v>3</v>
      </c>
      <c r="I78" t="s">
        <v>4</v>
      </c>
      <c r="J78" t="s">
        <v>5</v>
      </c>
      <c r="K78" t="s">
        <v>6</v>
      </c>
      <c r="M78" t="s">
        <v>7</v>
      </c>
      <c r="N78" t="s">
        <v>8</v>
      </c>
      <c r="O78" t="s">
        <v>9</v>
      </c>
    </row>
    <row r="79" spans="1:15" x14ac:dyDescent="0.2">
      <c r="A79" t="s">
        <v>80</v>
      </c>
      <c r="C79" t="s">
        <v>72</v>
      </c>
      <c r="F79">
        <v>38</v>
      </c>
      <c r="G79" s="3">
        <v>0.78900000000000003</v>
      </c>
      <c r="H79" s="3">
        <v>0.184</v>
      </c>
      <c r="I79" t="s">
        <v>12</v>
      </c>
      <c r="J79" s="3">
        <v>2.5999999999999999E-2</v>
      </c>
      <c r="K79" t="s">
        <v>12</v>
      </c>
      <c r="L79" t="s">
        <v>13</v>
      </c>
      <c r="M79" s="3">
        <v>1</v>
      </c>
      <c r="N79">
        <v>4.7</v>
      </c>
      <c r="O79" s="3">
        <v>0.97399999999999998</v>
      </c>
    </row>
    <row r="80" spans="1:15" x14ac:dyDescent="0.2">
      <c r="C80" t="s">
        <v>73</v>
      </c>
      <c r="F80">
        <v>38</v>
      </c>
      <c r="G80" s="3">
        <v>0.76300000000000001</v>
      </c>
      <c r="H80" s="3">
        <v>0.158</v>
      </c>
      <c r="I80" s="3">
        <v>2.5999999999999999E-2</v>
      </c>
      <c r="J80" s="3">
        <v>2.5999999999999999E-2</v>
      </c>
      <c r="K80" s="3">
        <v>2.5999999999999999E-2</v>
      </c>
      <c r="L80" t="s">
        <v>13</v>
      </c>
      <c r="M80" s="3">
        <v>1</v>
      </c>
      <c r="N80">
        <v>4.5999999999999996</v>
      </c>
      <c r="O80" s="3">
        <v>0.92100000000000004</v>
      </c>
    </row>
    <row r="81" spans="1:15" x14ac:dyDescent="0.2">
      <c r="C81" t="s">
        <v>74</v>
      </c>
      <c r="F81">
        <v>0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  <c r="L81" t="s">
        <v>13</v>
      </c>
      <c r="M81" t="s">
        <v>12</v>
      </c>
      <c r="N81">
        <v>0</v>
      </c>
      <c r="O81" t="s">
        <v>12</v>
      </c>
    </row>
    <row r="82" spans="1:15" x14ac:dyDescent="0.2">
      <c r="C82" t="s">
        <v>75</v>
      </c>
      <c r="F82">
        <v>0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13</v>
      </c>
      <c r="M82" t="s">
        <v>12</v>
      </c>
      <c r="N82">
        <v>0</v>
      </c>
      <c r="O82" t="s">
        <v>12</v>
      </c>
    </row>
    <row r="83" spans="1:15" x14ac:dyDescent="0.2">
      <c r="C83" t="s">
        <v>17</v>
      </c>
      <c r="F83">
        <v>38</v>
      </c>
      <c r="G83" s="3">
        <v>0.71099999999999997</v>
      </c>
      <c r="H83" s="3">
        <v>0.158</v>
      </c>
      <c r="I83" s="3">
        <v>7.9000000000000001E-2</v>
      </c>
      <c r="J83" s="3">
        <v>2.5999999999999999E-2</v>
      </c>
      <c r="K83" s="3">
        <v>2.5999999999999999E-2</v>
      </c>
      <c r="L83" t="s">
        <v>13</v>
      </c>
      <c r="M83" s="3">
        <v>1</v>
      </c>
      <c r="N83">
        <v>4.5</v>
      </c>
      <c r="O83" s="3">
        <v>0.86799999999999999</v>
      </c>
    </row>
    <row r="84" spans="1:15" x14ac:dyDescent="0.2">
      <c r="C84" t="s">
        <v>76</v>
      </c>
      <c r="F84">
        <v>38</v>
      </c>
      <c r="G84" s="3">
        <v>0.86799999999999999</v>
      </c>
      <c r="H84" s="3">
        <v>7.9000000000000001E-2</v>
      </c>
      <c r="I84" t="s">
        <v>12</v>
      </c>
      <c r="J84" s="3">
        <v>2.5999999999999999E-2</v>
      </c>
      <c r="K84" s="3">
        <v>2.5999999999999999E-2</v>
      </c>
      <c r="L84" t="s">
        <v>13</v>
      </c>
      <c r="M84" s="3">
        <v>1</v>
      </c>
      <c r="N84">
        <v>4.7</v>
      </c>
      <c r="O84" s="3">
        <v>0.94699999999999995</v>
      </c>
    </row>
    <row r="85" spans="1:15" x14ac:dyDescent="0.2">
      <c r="C85" t="s">
        <v>77</v>
      </c>
      <c r="F85">
        <v>38</v>
      </c>
      <c r="G85" s="3">
        <v>0.81599999999999995</v>
      </c>
      <c r="H85" s="3">
        <v>0.13200000000000001</v>
      </c>
      <c r="I85" s="3">
        <v>2.5999999999999999E-2</v>
      </c>
      <c r="J85" t="s">
        <v>12</v>
      </c>
      <c r="K85" s="3">
        <v>2.5999999999999999E-2</v>
      </c>
      <c r="L85" t="s">
        <v>13</v>
      </c>
      <c r="M85" s="3">
        <v>1</v>
      </c>
      <c r="N85">
        <v>4.7</v>
      </c>
      <c r="O85" s="3">
        <v>0.94699999999999995</v>
      </c>
    </row>
    <row r="86" spans="1:15" s="4" customFormat="1" x14ac:dyDescent="0.2"/>
    <row r="87" spans="1:15" x14ac:dyDescent="0.2">
      <c r="D87" s="1" t="str">
        <f>HYPERLINK("#"&amp;"Index!$A$1"&amp;"","Home")</f>
        <v>Home</v>
      </c>
      <c r="E87" s="2" t="s">
        <v>81</v>
      </c>
      <c r="F87" t="s">
        <v>82</v>
      </c>
      <c r="G87" t="s">
        <v>2</v>
      </c>
      <c r="H87" t="s">
        <v>3</v>
      </c>
      <c r="I87" t="s">
        <v>4</v>
      </c>
      <c r="J87" t="s">
        <v>5</v>
      </c>
      <c r="K87" t="s">
        <v>6</v>
      </c>
      <c r="M87" t="s">
        <v>7</v>
      </c>
      <c r="N87" t="s">
        <v>8</v>
      </c>
      <c r="O87" t="s">
        <v>9</v>
      </c>
    </row>
    <row r="88" spans="1:15" x14ac:dyDescent="0.2">
      <c r="A88" t="s">
        <v>83</v>
      </c>
      <c r="C88" t="s">
        <v>84</v>
      </c>
      <c r="F88">
        <v>0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13</v>
      </c>
      <c r="M88" t="s">
        <v>12</v>
      </c>
      <c r="N88">
        <v>0</v>
      </c>
      <c r="O88" t="s">
        <v>12</v>
      </c>
    </row>
    <row r="89" spans="1:15" x14ac:dyDescent="0.2">
      <c r="C89" t="s">
        <v>85</v>
      </c>
      <c r="F89">
        <v>513</v>
      </c>
      <c r="G89" s="3">
        <v>0.89300000000000002</v>
      </c>
      <c r="H89" s="3">
        <v>8.4000000000000005E-2</v>
      </c>
      <c r="I89" s="3">
        <v>1.6E-2</v>
      </c>
      <c r="J89" s="3">
        <v>4.0000000000000001E-3</v>
      </c>
      <c r="K89" s="3">
        <v>4.0000000000000001E-3</v>
      </c>
      <c r="L89" t="s">
        <v>13</v>
      </c>
      <c r="M89" s="3">
        <v>1</v>
      </c>
      <c r="N89">
        <v>4.9000000000000004</v>
      </c>
      <c r="O89" s="3">
        <v>0.97699999999999998</v>
      </c>
    </row>
    <row r="90" spans="1:15" x14ac:dyDescent="0.2">
      <c r="C90" t="s">
        <v>86</v>
      </c>
      <c r="F90">
        <v>0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13</v>
      </c>
      <c r="M90" t="s">
        <v>12</v>
      </c>
      <c r="N90">
        <v>0</v>
      </c>
      <c r="O90" t="s">
        <v>12</v>
      </c>
    </row>
    <row r="91" spans="1:15" x14ac:dyDescent="0.2">
      <c r="C91" t="s">
        <v>87</v>
      </c>
      <c r="F91">
        <v>0</v>
      </c>
      <c r="G91" t="s">
        <v>12</v>
      </c>
      <c r="H91" t="s">
        <v>12</v>
      </c>
      <c r="I91" t="s">
        <v>12</v>
      </c>
      <c r="J91" t="s">
        <v>12</v>
      </c>
      <c r="K91" t="s">
        <v>12</v>
      </c>
      <c r="L91" t="s">
        <v>13</v>
      </c>
      <c r="M91" t="s">
        <v>12</v>
      </c>
      <c r="N91">
        <v>0</v>
      </c>
      <c r="O91" t="s">
        <v>12</v>
      </c>
    </row>
    <row r="92" spans="1:15" x14ac:dyDescent="0.2">
      <c r="C92" t="s">
        <v>88</v>
      </c>
      <c r="F92">
        <v>510</v>
      </c>
      <c r="G92" s="3">
        <v>0.88200000000000001</v>
      </c>
      <c r="H92" s="3">
        <v>7.4999999999999997E-2</v>
      </c>
      <c r="I92" s="3">
        <v>2.4E-2</v>
      </c>
      <c r="J92" s="3">
        <v>4.0000000000000001E-3</v>
      </c>
      <c r="K92" s="3">
        <v>1.6E-2</v>
      </c>
      <c r="L92" t="s">
        <v>13</v>
      </c>
      <c r="M92" s="3">
        <v>1</v>
      </c>
      <c r="N92">
        <v>4.8</v>
      </c>
      <c r="O92" s="3">
        <v>0.95699999999999996</v>
      </c>
    </row>
    <row r="93" spans="1:15" x14ac:dyDescent="0.2">
      <c r="C93" t="s">
        <v>89</v>
      </c>
      <c r="F93">
        <v>508</v>
      </c>
      <c r="G93" s="3">
        <v>0.73799999999999999</v>
      </c>
      <c r="H93" s="3">
        <v>0.13200000000000001</v>
      </c>
      <c r="I93" s="3">
        <v>7.2999999999999995E-2</v>
      </c>
      <c r="J93" s="3">
        <v>1.4E-2</v>
      </c>
      <c r="K93" s="3">
        <v>4.2999999999999997E-2</v>
      </c>
      <c r="L93" t="s">
        <v>13</v>
      </c>
      <c r="M93" s="3">
        <v>1</v>
      </c>
      <c r="N93">
        <v>4.5</v>
      </c>
      <c r="O93" s="3">
        <v>0.87</v>
      </c>
    </row>
    <row r="94" spans="1:15" x14ac:dyDescent="0.2">
      <c r="C94" t="s">
        <v>90</v>
      </c>
      <c r="F94">
        <v>512</v>
      </c>
      <c r="G94" s="3">
        <v>0.82799999999999996</v>
      </c>
      <c r="H94" s="3">
        <v>0.11700000000000001</v>
      </c>
      <c r="I94" s="3">
        <v>3.1E-2</v>
      </c>
      <c r="J94" s="3">
        <v>1.4E-2</v>
      </c>
      <c r="K94" s="3">
        <v>0.01</v>
      </c>
      <c r="L94" t="s">
        <v>13</v>
      </c>
      <c r="M94" s="3">
        <v>1</v>
      </c>
      <c r="N94">
        <v>4.7</v>
      </c>
      <c r="O94" s="3">
        <v>0.94499999999999995</v>
      </c>
    </row>
    <row r="95" spans="1:15" x14ac:dyDescent="0.2">
      <c r="C95" t="s">
        <v>91</v>
      </c>
      <c r="F95">
        <v>513</v>
      </c>
      <c r="G95" s="3">
        <v>0.76400000000000001</v>
      </c>
      <c r="H95" s="3">
        <v>0.14399999999999999</v>
      </c>
      <c r="I95" s="3">
        <v>5.2999999999999999E-2</v>
      </c>
      <c r="J95" s="3">
        <v>2.1000000000000001E-2</v>
      </c>
      <c r="K95" s="3">
        <v>1.7999999999999999E-2</v>
      </c>
      <c r="L95" t="s">
        <v>13</v>
      </c>
      <c r="M95" s="3">
        <v>1</v>
      </c>
      <c r="N95">
        <v>4.5999999999999996</v>
      </c>
      <c r="O95" s="3">
        <v>0.90800000000000003</v>
      </c>
    </row>
    <row r="96" spans="1:15" x14ac:dyDescent="0.2">
      <c r="C96" t="s">
        <v>92</v>
      </c>
      <c r="F96">
        <v>0</v>
      </c>
      <c r="G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13</v>
      </c>
      <c r="M96" t="s">
        <v>12</v>
      </c>
      <c r="N96">
        <v>0</v>
      </c>
      <c r="O96" t="s">
        <v>12</v>
      </c>
    </row>
    <row r="97" spans="1:15" x14ac:dyDescent="0.2">
      <c r="C97" t="s">
        <v>93</v>
      </c>
      <c r="F97">
        <v>437</v>
      </c>
      <c r="G97" s="3">
        <v>0.77100000000000002</v>
      </c>
      <c r="H97" s="3">
        <v>0.13300000000000001</v>
      </c>
      <c r="I97" s="3">
        <v>5.5E-2</v>
      </c>
      <c r="J97" s="3">
        <v>2.1000000000000001E-2</v>
      </c>
      <c r="K97" s="3">
        <v>2.1000000000000001E-2</v>
      </c>
      <c r="L97" t="s">
        <v>13</v>
      </c>
      <c r="M97" s="3">
        <v>1</v>
      </c>
      <c r="N97">
        <v>4.5999999999999996</v>
      </c>
      <c r="O97" s="3">
        <v>0.90400000000000003</v>
      </c>
    </row>
    <row r="98" spans="1:15" s="4" customFormat="1" x14ac:dyDescent="0.2"/>
    <row r="99" spans="1:15" x14ac:dyDescent="0.2">
      <c r="D99" s="1" t="str">
        <f>HYPERLINK("#"&amp;"Index!$A$1"&amp;"","Home")</f>
        <v>Home</v>
      </c>
      <c r="E99" s="2" t="s">
        <v>94</v>
      </c>
      <c r="F99" t="s">
        <v>95</v>
      </c>
      <c r="G99" t="s">
        <v>2</v>
      </c>
      <c r="H99" t="s">
        <v>3</v>
      </c>
      <c r="I99" t="s">
        <v>4</v>
      </c>
      <c r="J99" t="s">
        <v>5</v>
      </c>
      <c r="K99" t="s">
        <v>6</v>
      </c>
      <c r="M99" t="s">
        <v>7</v>
      </c>
      <c r="N99" t="s">
        <v>8</v>
      </c>
      <c r="O99" t="s">
        <v>9</v>
      </c>
    </row>
    <row r="100" spans="1:15" x14ac:dyDescent="0.2">
      <c r="A100" t="s">
        <v>96</v>
      </c>
      <c r="C100" t="s">
        <v>97</v>
      </c>
      <c r="F100">
        <v>0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  <c r="L100" t="s">
        <v>13</v>
      </c>
      <c r="M100" t="s">
        <v>12</v>
      </c>
      <c r="N100">
        <v>0</v>
      </c>
      <c r="O100" t="s">
        <v>12</v>
      </c>
    </row>
    <row r="101" spans="1:15" x14ac:dyDescent="0.2">
      <c r="C101" t="s">
        <v>85</v>
      </c>
      <c r="F101">
        <v>37</v>
      </c>
      <c r="G101" s="3">
        <v>0.91900000000000004</v>
      </c>
      <c r="H101" s="3">
        <v>2.7E-2</v>
      </c>
      <c r="I101" s="3">
        <v>2.7E-2</v>
      </c>
      <c r="J101" s="3">
        <v>2.7E-2</v>
      </c>
      <c r="K101" t="s">
        <v>12</v>
      </c>
      <c r="L101" t="s">
        <v>13</v>
      </c>
      <c r="M101" s="3">
        <v>1</v>
      </c>
      <c r="N101">
        <v>4.8</v>
      </c>
      <c r="O101" s="3">
        <v>0.94599999999999995</v>
      </c>
    </row>
    <row r="102" spans="1:15" x14ac:dyDescent="0.2">
      <c r="C102" t="s">
        <v>86</v>
      </c>
      <c r="F102">
        <v>0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13</v>
      </c>
      <c r="M102" t="s">
        <v>12</v>
      </c>
      <c r="N102">
        <v>0</v>
      </c>
      <c r="O102" t="s">
        <v>12</v>
      </c>
    </row>
    <row r="103" spans="1:15" x14ac:dyDescent="0.2">
      <c r="C103" t="s">
        <v>87</v>
      </c>
      <c r="F103">
        <v>0</v>
      </c>
      <c r="G103" t="s">
        <v>12</v>
      </c>
      <c r="H103" t="s">
        <v>12</v>
      </c>
      <c r="I103" t="s">
        <v>12</v>
      </c>
      <c r="J103" t="s">
        <v>12</v>
      </c>
      <c r="K103" t="s">
        <v>12</v>
      </c>
      <c r="L103" t="s">
        <v>13</v>
      </c>
      <c r="M103" t="s">
        <v>12</v>
      </c>
      <c r="N103">
        <v>0</v>
      </c>
      <c r="O103" t="s">
        <v>12</v>
      </c>
    </row>
    <row r="104" spans="1:15" x14ac:dyDescent="0.2">
      <c r="C104" t="s">
        <v>88</v>
      </c>
      <c r="F104">
        <v>37</v>
      </c>
      <c r="G104" s="3">
        <v>0.86499999999999999</v>
      </c>
      <c r="H104" s="3">
        <v>5.3999999999999999E-2</v>
      </c>
      <c r="I104" s="3">
        <v>5.3999999999999999E-2</v>
      </c>
      <c r="J104" t="s">
        <v>12</v>
      </c>
      <c r="K104" s="3">
        <v>2.7E-2</v>
      </c>
      <c r="L104" t="s">
        <v>13</v>
      </c>
      <c r="M104" s="3">
        <v>1</v>
      </c>
      <c r="N104">
        <v>4.7</v>
      </c>
      <c r="O104" s="3">
        <v>0.91900000000000004</v>
      </c>
    </row>
    <row r="105" spans="1:15" x14ac:dyDescent="0.2">
      <c r="C105" t="s">
        <v>89</v>
      </c>
      <c r="F105">
        <v>38</v>
      </c>
      <c r="G105" s="3">
        <v>0.73699999999999999</v>
      </c>
      <c r="H105" s="3">
        <v>7.9000000000000001E-2</v>
      </c>
      <c r="I105" s="3">
        <v>0.13200000000000001</v>
      </c>
      <c r="J105" s="3">
        <v>2.5999999999999999E-2</v>
      </c>
      <c r="K105" s="3">
        <v>2.5999999999999999E-2</v>
      </c>
      <c r="L105" t="s">
        <v>13</v>
      </c>
      <c r="M105" s="3">
        <v>1</v>
      </c>
      <c r="N105">
        <v>4.5</v>
      </c>
      <c r="O105" s="3">
        <v>0.81599999999999995</v>
      </c>
    </row>
    <row r="106" spans="1:15" x14ac:dyDescent="0.2">
      <c r="C106" t="s">
        <v>90</v>
      </c>
      <c r="F106">
        <v>38</v>
      </c>
      <c r="G106" s="3">
        <v>0.78900000000000003</v>
      </c>
      <c r="H106" s="3">
        <v>0.105</v>
      </c>
      <c r="I106" s="3">
        <v>7.9000000000000001E-2</v>
      </c>
      <c r="J106" t="s">
        <v>12</v>
      </c>
      <c r="K106" s="3">
        <v>2.5999999999999999E-2</v>
      </c>
      <c r="L106" t="s">
        <v>13</v>
      </c>
      <c r="M106" s="3">
        <v>1</v>
      </c>
      <c r="N106">
        <v>4.5999999999999996</v>
      </c>
      <c r="O106" s="3">
        <v>0.89500000000000002</v>
      </c>
    </row>
    <row r="107" spans="1:15" x14ac:dyDescent="0.2">
      <c r="C107" t="s">
        <v>91</v>
      </c>
      <c r="F107">
        <v>38</v>
      </c>
      <c r="G107" s="3">
        <v>0.76300000000000001</v>
      </c>
      <c r="H107" s="3">
        <v>0.21099999999999999</v>
      </c>
      <c r="I107" t="s">
        <v>12</v>
      </c>
      <c r="J107" t="s">
        <v>12</v>
      </c>
      <c r="K107" s="3">
        <v>2.5999999999999999E-2</v>
      </c>
      <c r="L107" t="s">
        <v>13</v>
      </c>
      <c r="M107" s="3">
        <v>1</v>
      </c>
      <c r="N107">
        <v>4.7</v>
      </c>
      <c r="O107" s="3">
        <v>0.97399999999999998</v>
      </c>
    </row>
    <row r="108" spans="1:15" x14ac:dyDescent="0.2">
      <c r="C108" t="s">
        <v>92</v>
      </c>
      <c r="F108">
        <v>0</v>
      </c>
      <c r="G108" t="s">
        <v>12</v>
      </c>
      <c r="H108" t="s">
        <v>12</v>
      </c>
      <c r="I108" t="s">
        <v>12</v>
      </c>
      <c r="J108" t="s">
        <v>12</v>
      </c>
      <c r="K108" t="s">
        <v>12</v>
      </c>
      <c r="L108" t="s">
        <v>13</v>
      </c>
      <c r="M108" t="s">
        <v>12</v>
      </c>
      <c r="N108">
        <v>0</v>
      </c>
      <c r="O108" t="s">
        <v>12</v>
      </c>
    </row>
    <row r="109" spans="1:15" x14ac:dyDescent="0.2">
      <c r="C109" t="s">
        <v>93</v>
      </c>
      <c r="F109">
        <v>35</v>
      </c>
      <c r="G109" s="3">
        <v>0.82899999999999996</v>
      </c>
      <c r="H109" s="3">
        <v>5.7000000000000002E-2</v>
      </c>
      <c r="I109" s="3">
        <v>2.9000000000000001E-2</v>
      </c>
      <c r="J109" s="3">
        <v>2.9000000000000001E-2</v>
      </c>
      <c r="K109" s="3">
        <v>5.7000000000000002E-2</v>
      </c>
      <c r="L109" t="s">
        <v>13</v>
      </c>
      <c r="M109" s="3">
        <v>1</v>
      </c>
      <c r="N109">
        <v>4.5999999999999996</v>
      </c>
      <c r="O109" s="3">
        <v>0.88600000000000001</v>
      </c>
    </row>
    <row r="110" spans="1:15" s="6" customFormat="1" x14ac:dyDescent="0.2"/>
    <row r="111" spans="1:15" x14ac:dyDescent="0.2">
      <c r="A111" s="5"/>
      <c r="B111" s="5"/>
      <c r="D111" s="1" t="str">
        <f>HYPERLINK("#"&amp;"Index!$A$1"&amp;"","Home")</f>
        <v>Home</v>
      </c>
      <c r="E111" s="2" t="s">
        <v>98</v>
      </c>
      <c r="F111" t="s">
        <v>99</v>
      </c>
      <c r="G111" t="s">
        <v>58</v>
      </c>
      <c r="H111" t="s">
        <v>59</v>
      </c>
      <c r="I111" t="s">
        <v>4</v>
      </c>
      <c r="J111" t="s">
        <v>60</v>
      </c>
      <c r="K111" t="s">
        <v>61</v>
      </c>
      <c r="M111" t="s">
        <v>7</v>
      </c>
      <c r="N111" t="s">
        <v>8</v>
      </c>
      <c r="O111" t="s">
        <v>9</v>
      </c>
    </row>
    <row r="112" spans="1:15" x14ac:dyDescent="0.2">
      <c r="A112" s="5"/>
      <c r="B112" s="5"/>
      <c r="C112" t="s">
        <v>100</v>
      </c>
      <c r="F112">
        <v>515</v>
      </c>
      <c r="G112" s="3">
        <v>0.76700000000000002</v>
      </c>
      <c r="H112" s="3">
        <v>0.14199999999999999</v>
      </c>
      <c r="I112" s="3">
        <v>5.3999999999999999E-2</v>
      </c>
      <c r="J112" s="3">
        <v>2.1000000000000001E-2</v>
      </c>
      <c r="K112" s="3">
        <v>1.6E-2</v>
      </c>
      <c r="L112" t="s">
        <v>13</v>
      </c>
      <c r="M112" s="3">
        <v>1</v>
      </c>
      <c r="N112">
        <v>4.5999999999999996</v>
      </c>
      <c r="O112" s="3">
        <v>0.90900000000000003</v>
      </c>
    </row>
    <row r="113" spans="1:15" x14ac:dyDescent="0.2">
      <c r="A113" s="5"/>
      <c r="B113" s="5"/>
      <c r="C113" t="s">
        <v>101</v>
      </c>
      <c r="F113">
        <v>38</v>
      </c>
      <c r="G113" s="3">
        <v>0.76300000000000001</v>
      </c>
      <c r="H113" s="3">
        <v>0.158</v>
      </c>
      <c r="I113" s="3">
        <v>5.2999999999999999E-2</v>
      </c>
      <c r="J113" t="s">
        <v>12</v>
      </c>
      <c r="K113" s="3">
        <v>2.5999999999999999E-2</v>
      </c>
      <c r="L113" t="s">
        <v>13</v>
      </c>
      <c r="M113" s="3">
        <v>1</v>
      </c>
      <c r="N113">
        <v>4.5999999999999996</v>
      </c>
      <c r="O113" s="3">
        <v>0.92100000000000004</v>
      </c>
    </row>
    <row r="114" spans="1:15" s="6" customFormat="1" x14ac:dyDescent="0.2"/>
    <row r="115" spans="1:15" x14ac:dyDescent="0.2">
      <c r="D115" s="1" t="str">
        <f>HYPERLINK("#"&amp;"Index!$A$1"&amp;"","Home")</f>
        <v>Home</v>
      </c>
      <c r="E115" s="2" t="s">
        <v>102</v>
      </c>
      <c r="F115" t="s">
        <v>103</v>
      </c>
      <c r="G115" t="s">
        <v>2</v>
      </c>
      <c r="H115" t="s">
        <v>3</v>
      </c>
      <c r="I115" t="s">
        <v>4</v>
      </c>
      <c r="J115" t="s">
        <v>5</v>
      </c>
      <c r="K115" t="s">
        <v>6</v>
      </c>
      <c r="M115" t="s">
        <v>7</v>
      </c>
      <c r="N115" t="s">
        <v>8</v>
      </c>
      <c r="O115" t="s">
        <v>9</v>
      </c>
    </row>
    <row r="116" spans="1:15" x14ac:dyDescent="0.2">
      <c r="A116" t="s">
        <v>104</v>
      </c>
      <c r="C116" t="s">
        <v>105</v>
      </c>
      <c r="F116">
        <v>37</v>
      </c>
      <c r="G116" s="3">
        <v>0.78400000000000003</v>
      </c>
      <c r="H116" s="3">
        <v>0.16200000000000001</v>
      </c>
      <c r="I116" s="3">
        <v>5.3999999999999999E-2</v>
      </c>
      <c r="J116" t="s">
        <v>12</v>
      </c>
      <c r="K116" t="s">
        <v>12</v>
      </c>
      <c r="L116" t="s">
        <v>13</v>
      </c>
      <c r="M116" s="3">
        <v>1</v>
      </c>
      <c r="N116">
        <v>4.7</v>
      </c>
      <c r="O116" s="3">
        <v>0.94599999999999995</v>
      </c>
    </row>
    <row r="117" spans="1:15" x14ac:dyDescent="0.2">
      <c r="C117" t="s">
        <v>106</v>
      </c>
      <c r="F117">
        <v>33</v>
      </c>
      <c r="G117" s="3">
        <v>0.84799999999999998</v>
      </c>
      <c r="H117" s="3">
        <v>0.03</v>
      </c>
      <c r="I117" s="3">
        <v>9.0999999999999998E-2</v>
      </c>
      <c r="J117" s="3">
        <v>0.03</v>
      </c>
      <c r="K117" t="s">
        <v>12</v>
      </c>
      <c r="L117" t="s">
        <v>13</v>
      </c>
      <c r="M117" s="3">
        <v>1</v>
      </c>
      <c r="N117">
        <v>4.7</v>
      </c>
      <c r="O117" s="3">
        <v>0.879</v>
      </c>
    </row>
    <row r="118" spans="1:15" x14ac:dyDescent="0.2">
      <c r="C118" t="s">
        <v>107</v>
      </c>
      <c r="F118">
        <v>36</v>
      </c>
      <c r="G118" s="3">
        <v>0.88900000000000001</v>
      </c>
      <c r="H118" s="3">
        <v>8.3000000000000004E-2</v>
      </c>
      <c r="I118" s="3">
        <v>2.8000000000000001E-2</v>
      </c>
      <c r="J118" t="s">
        <v>12</v>
      </c>
      <c r="K118" t="s">
        <v>12</v>
      </c>
      <c r="L118" t="s">
        <v>13</v>
      </c>
      <c r="M118" s="3">
        <v>1</v>
      </c>
      <c r="N118">
        <v>4.9000000000000004</v>
      </c>
      <c r="O118" s="3">
        <v>0.97199999999999998</v>
      </c>
    </row>
    <row r="119" spans="1:15" x14ac:dyDescent="0.2">
      <c r="C119" t="s">
        <v>108</v>
      </c>
      <c r="F119">
        <v>33</v>
      </c>
      <c r="G119" s="3">
        <v>0.93899999999999995</v>
      </c>
      <c r="H119" t="s">
        <v>12</v>
      </c>
      <c r="I119" s="3">
        <v>0.03</v>
      </c>
      <c r="J119" s="3">
        <v>0.03</v>
      </c>
      <c r="K119" t="s">
        <v>12</v>
      </c>
      <c r="L119" t="s">
        <v>13</v>
      </c>
      <c r="M119" s="3">
        <v>1</v>
      </c>
      <c r="N119">
        <v>4.8</v>
      </c>
      <c r="O119" s="3">
        <v>0.93899999999999995</v>
      </c>
    </row>
    <row r="120" spans="1:15" x14ac:dyDescent="0.2">
      <c r="C120" t="s">
        <v>109</v>
      </c>
      <c r="F120">
        <v>36</v>
      </c>
      <c r="G120" s="3">
        <v>0.75</v>
      </c>
      <c r="H120" s="3">
        <v>0.222</v>
      </c>
      <c r="I120" s="3">
        <v>2.8000000000000001E-2</v>
      </c>
      <c r="J120" t="s">
        <v>12</v>
      </c>
      <c r="K120" t="s">
        <v>12</v>
      </c>
      <c r="L120" t="s">
        <v>13</v>
      </c>
      <c r="M120" s="3">
        <v>1</v>
      </c>
      <c r="N120">
        <v>4.7</v>
      </c>
      <c r="O120" s="3">
        <v>0.97199999999999998</v>
      </c>
    </row>
    <row r="121" spans="1:15" s="4" customFormat="1" x14ac:dyDescent="0.2"/>
    <row r="122" spans="1:15" x14ac:dyDescent="0.2">
      <c r="D122" s="1" t="str">
        <f>HYPERLINK("#"&amp;"Index!$A$1"&amp;"","Home")</f>
        <v>Home</v>
      </c>
      <c r="E122" s="2" t="s">
        <v>110</v>
      </c>
      <c r="F122" t="s">
        <v>111</v>
      </c>
      <c r="G122" t="s">
        <v>2</v>
      </c>
      <c r="H122" t="s">
        <v>3</v>
      </c>
      <c r="I122" t="s">
        <v>4</v>
      </c>
      <c r="J122" t="s">
        <v>5</v>
      </c>
      <c r="K122" t="s">
        <v>6</v>
      </c>
      <c r="M122" t="s">
        <v>7</v>
      </c>
      <c r="N122" t="s">
        <v>8</v>
      </c>
      <c r="O122" t="s">
        <v>9</v>
      </c>
    </row>
    <row r="123" spans="1:15" x14ac:dyDescent="0.2">
      <c r="A123" t="s">
        <v>112</v>
      </c>
      <c r="C123" t="s">
        <v>113</v>
      </c>
      <c r="F123">
        <v>257</v>
      </c>
      <c r="G123" s="3">
        <v>0.78600000000000003</v>
      </c>
      <c r="H123" s="3">
        <v>0.14799999999999999</v>
      </c>
      <c r="I123" s="3">
        <v>4.7E-2</v>
      </c>
      <c r="J123" s="3">
        <v>8.0000000000000002E-3</v>
      </c>
      <c r="K123" s="3">
        <v>1.2E-2</v>
      </c>
      <c r="L123" t="s">
        <v>13</v>
      </c>
      <c r="M123" s="3">
        <v>1</v>
      </c>
      <c r="N123">
        <v>4.7</v>
      </c>
      <c r="O123" s="3">
        <v>0.93400000000000005</v>
      </c>
    </row>
    <row r="124" spans="1:15" x14ac:dyDescent="0.2">
      <c r="C124" t="s">
        <v>114</v>
      </c>
      <c r="F124">
        <v>0</v>
      </c>
      <c r="G124" t="s">
        <v>12</v>
      </c>
      <c r="H124" t="s">
        <v>12</v>
      </c>
      <c r="I124" t="s">
        <v>12</v>
      </c>
      <c r="J124" t="s">
        <v>12</v>
      </c>
      <c r="K124" t="s">
        <v>12</v>
      </c>
      <c r="L124" t="s">
        <v>13</v>
      </c>
      <c r="M124" t="s">
        <v>12</v>
      </c>
      <c r="N124">
        <v>0</v>
      </c>
      <c r="O124" t="s">
        <v>12</v>
      </c>
    </row>
    <row r="125" spans="1:15" x14ac:dyDescent="0.2">
      <c r="C125" t="s">
        <v>115</v>
      </c>
      <c r="F125">
        <v>257</v>
      </c>
      <c r="G125" s="3">
        <v>0.73199999999999998</v>
      </c>
      <c r="H125" s="3">
        <v>0.125</v>
      </c>
      <c r="I125" s="3">
        <v>5.3999999999999999E-2</v>
      </c>
      <c r="J125" s="3">
        <v>3.1E-2</v>
      </c>
      <c r="K125" s="3">
        <v>5.8000000000000003E-2</v>
      </c>
      <c r="L125" t="s">
        <v>13</v>
      </c>
      <c r="M125" s="3">
        <v>1</v>
      </c>
      <c r="N125">
        <v>4.4000000000000004</v>
      </c>
      <c r="O125" s="3">
        <v>0.85599999999999998</v>
      </c>
    </row>
    <row r="126" spans="1:15" x14ac:dyDescent="0.2">
      <c r="C126" t="s">
        <v>116</v>
      </c>
      <c r="F126">
        <v>0</v>
      </c>
      <c r="G126" t="s">
        <v>12</v>
      </c>
      <c r="H126" t="s">
        <v>12</v>
      </c>
      <c r="I126" t="s">
        <v>12</v>
      </c>
      <c r="J126" t="s">
        <v>12</v>
      </c>
      <c r="K126" t="s">
        <v>12</v>
      </c>
      <c r="L126" t="s">
        <v>13</v>
      </c>
      <c r="M126" t="s">
        <v>12</v>
      </c>
      <c r="N126">
        <v>0</v>
      </c>
      <c r="O126" t="s">
        <v>12</v>
      </c>
    </row>
    <row r="127" spans="1:15" x14ac:dyDescent="0.2">
      <c r="C127" t="s">
        <v>117</v>
      </c>
      <c r="F127">
        <v>257</v>
      </c>
      <c r="G127" s="3">
        <v>0.83699999999999997</v>
      </c>
      <c r="H127" s="3">
        <v>0.105</v>
      </c>
      <c r="I127" s="3">
        <v>3.5000000000000003E-2</v>
      </c>
      <c r="J127" s="3">
        <v>1.2E-2</v>
      </c>
      <c r="K127" s="3">
        <v>1.2E-2</v>
      </c>
      <c r="L127" t="s">
        <v>13</v>
      </c>
      <c r="M127" s="3">
        <v>1</v>
      </c>
      <c r="N127">
        <v>4.7</v>
      </c>
      <c r="O127" s="3">
        <v>0.94199999999999995</v>
      </c>
    </row>
    <row r="128" spans="1:15" x14ac:dyDescent="0.2">
      <c r="C128" t="s">
        <v>118</v>
      </c>
      <c r="F128">
        <v>0</v>
      </c>
      <c r="G128" t="s">
        <v>12</v>
      </c>
      <c r="H128" t="s">
        <v>12</v>
      </c>
      <c r="I128" t="s">
        <v>12</v>
      </c>
      <c r="J128" t="s">
        <v>12</v>
      </c>
      <c r="K128" t="s">
        <v>12</v>
      </c>
      <c r="L128" t="s">
        <v>13</v>
      </c>
      <c r="M128" t="s">
        <v>12</v>
      </c>
      <c r="N128">
        <v>0</v>
      </c>
      <c r="O128" t="s">
        <v>12</v>
      </c>
    </row>
    <row r="129" spans="1:22" x14ac:dyDescent="0.2">
      <c r="C129" t="s">
        <v>119</v>
      </c>
      <c r="F129">
        <v>257</v>
      </c>
      <c r="G129" s="3">
        <v>0.86</v>
      </c>
      <c r="H129" s="3">
        <v>9.7000000000000003E-2</v>
      </c>
      <c r="I129" s="3">
        <v>2.7E-2</v>
      </c>
      <c r="J129" t="s">
        <v>12</v>
      </c>
      <c r="K129" s="3">
        <v>1.6E-2</v>
      </c>
      <c r="L129" t="s">
        <v>13</v>
      </c>
      <c r="M129" s="3">
        <v>1</v>
      </c>
      <c r="N129">
        <v>4.8</v>
      </c>
      <c r="O129" s="3">
        <v>0.95699999999999996</v>
      </c>
    </row>
    <row r="130" spans="1:22" s="6" customFormat="1" x14ac:dyDescent="0.2"/>
    <row r="131" spans="1:22" x14ac:dyDescent="0.2">
      <c r="A131" s="5"/>
      <c r="B131" s="5"/>
      <c r="D131" s="1" t="str">
        <f>HYPERLINK("#"&amp;"Index!$A$1"&amp;"","Home")</f>
        <v>Home</v>
      </c>
      <c r="E131" s="2" t="s">
        <v>120</v>
      </c>
      <c r="F131" t="s">
        <v>121</v>
      </c>
      <c r="G131" t="s">
        <v>58</v>
      </c>
      <c r="H131" t="s">
        <v>59</v>
      </c>
      <c r="I131" t="s">
        <v>4</v>
      </c>
      <c r="J131" t="s">
        <v>60</v>
      </c>
      <c r="K131" t="s">
        <v>61</v>
      </c>
      <c r="M131" t="s">
        <v>7</v>
      </c>
      <c r="N131" t="s">
        <v>8</v>
      </c>
      <c r="O131" t="s">
        <v>9</v>
      </c>
    </row>
    <row r="132" spans="1:22" x14ac:dyDescent="0.2">
      <c r="A132" s="5"/>
      <c r="B132" s="5"/>
      <c r="C132" t="s">
        <v>122</v>
      </c>
      <c r="F132">
        <v>281</v>
      </c>
      <c r="G132" s="3">
        <v>0.67300000000000004</v>
      </c>
      <c r="H132" s="3">
        <v>0.14599999999999999</v>
      </c>
      <c r="I132" s="3">
        <v>8.2000000000000003E-2</v>
      </c>
      <c r="J132" s="3">
        <v>2.1000000000000001E-2</v>
      </c>
      <c r="K132" s="3">
        <v>7.8E-2</v>
      </c>
      <c r="L132" t="s">
        <v>13</v>
      </c>
      <c r="M132" s="3">
        <v>1</v>
      </c>
      <c r="N132">
        <v>4.3</v>
      </c>
      <c r="O132" s="3">
        <v>0.81899999999999995</v>
      </c>
    </row>
    <row r="133" spans="1:22" s="6" customFormat="1" x14ac:dyDescent="0.2"/>
    <row r="134" spans="1:22" x14ac:dyDescent="0.2">
      <c r="D134" s="1" t="str">
        <f>HYPERLINK("#"&amp;"Index!$A$1"&amp;"","Home")</f>
        <v>Home</v>
      </c>
      <c r="E134" s="2" t="s">
        <v>123</v>
      </c>
      <c r="F134" t="s">
        <v>124</v>
      </c>
      <c r="G134" t="s">
        <v>2</v>
      </c>
      <c r="H134" t="s">
        <v>3</v>
      </c>
      <c r="I134" t="s">
        <v>4</v>
      </c>
      <c r="J134" t="s">
        <v>5</v>
      </c>
      <c r="K134" t="s">
        <v>6</v>
      </c>
      <c r="M134" t="s">
        <v>7</v>
      </c>
      <c r="N134" t="s">
        <v>8</v>
      </c>
      <c r="O134" t="s">
        <v>9</v>
      </c>
    </row>
    <row r="135" spans="1:22" x14ac:dyDescent="0.2">
      <c r="A135" t="s">
        <v>125</v>
      </c>
      <c r="C135" t="s">
        <v>126</v>
      </c>
      <c r="F135">
        <v>13</v>
      </c>
      <c r="G135" s="3">
        <v>0.76900000000000002</v>
      </c>
      <c r="H135" s="3">
        <v>0.154</v>
      </c>
      <c r="I135" s="3">
        <v>7.6999999999999999E-2</v>
      </c>
      <c r="J135" t="s">
        <v>12</v>
      </c>
      <c r="K135" t="s">
        <v>12</v>
      </c>
      <c r="L135" t="s">
        <v>13</v>
      </c>
      <c r="M135" s="3">
        <v>1</v>
      </c>
      <c r="N135">
        <v>4.7</v>
      </c>
      <c r="O135" s="3">
        <v>0.92300000000000004</v>
      </c>
    </row>
    <row r="136" spans="1:22" x14ac:dyDescent="0.2">
      <c r="C136" t="s">
        <v>127</v>
      </c>
      <c r="F136">
        <v>13</v>
      </c>
      <c r="G136" s="3">
        <v>0.53800000000000003</v>
      </c>
      <c r="H136" s="3">
        <v>0.308</v>
      </c>
      <c r="I136" s="3">
        <v>7.6999999999999999E-2</v>
      </c>
      <c r="J136" t="s">
        <v>12</v>
      </c>
      <c r="K136" s="3">
        <v>7.6999999999999999E-2</v>
      </c>
      <c r="L136" t="s">
        <v>13</v>
      </c>
      <c r="M136" s="3">
        <v>1</v>
      </c>
      <c r="N136">
        <v>4.2</v>
      </c>
      <c r="O136" s="3">
        <v>0.84599999999999997</v>
      </c>
    </row>
    <row r="137" spans="1:22" x14ac:dyDescent="0.2">
      <c r="C137" t="s">
        <v>128</v>
      </c>
      <c r="F137">
        <v>0</v>
      </c>
      <c r="G137" t="s">
        <v>12</v>
      </c>
      <c r="H137" t="s">
        <v>12</v>
      </c>
      <c r="I137" t="s">
        <v>12</v>
      </c>
      <c r="J137" t="s">
        <v>12</v>
      </c>
      <c r="K137" t="s">
        <v>12</v>
      </c>
      <c r="L137" t="s">
        <v>13</v>
      </c>
      <c r="M137" t="s">
        <v>12</v>
      </c>
      <c r="N137">
        <v>0</v>
      </c>
      <c r="O137" t="s">
        <v>12</v>
      </c>
    </row>
    <row r="138" spans="1:22" x14ac:dyDescent="0.2">
      <c r="C138" t="s">
        <v>129</v>
      </c>
      <c r="F138">
        <v>13</v>
      </c>
      <c r="G138" s="3">
        <v>0.38500000000000001</v>
      </c>
      <c r="H138" s="3">
        <v>0.23100000000000001</v>
      </c>
      <c r="I138" s="3">
        <v>7.6999999999999999E-2</v>
      </c>
      <c r="J138" s="3">
        <v>0.23100000000000001</v>
      </c>
      <c r="K138" s="3">
        <v>7.6999999999999999E-2</v>
      </c>
      <c r="L138" t="s">
        <v>13</v>
      </c>
      <c r="M138" s="3">
        <v>1</v>
      </c>
      <c r="N138">
        <v>3.6</v>
      </c>
      <c r="O138" s="3">
        <v>0.61499999999999999</v>
      </c>
    </row>
    <row r="139" spans="1:22" s="7" customFormat="1" x14ac:dyDescent="0.2"/>
    <row r="140" spans="1:22" x14ac:dyDescent="0.2">
      <c r="B140" s="1" t="str">
        <f>HYPERLINK("#"&amp;"Index!$A$1"&amp;"","Home")</f>
        <v>Home</v>
      </c>
      <c r="C140" s="2" t="s">
        <v>130</v>
      </c>
      <c r="D140" t="s">
        <v>131</v>
      </c>
      <c r="E140" t="s">
        <v>132</v>
      </c>
      <c r="F140">
        <v>1</v>
      </c>
      <c r="G140">
        <v>2</v>
      </c>
      <c r="H140">
        <v>3</v>
      </c>
      <c r="I140">
        <v>4</v>
      </c>
      <c r="J140">
        <v>5</v>
      </c>
      <c r="K140">
        <v>6</v>
      </c>
      <c r="L140">
        <v>7</v>
      </c>
      <c r="M140">
        <v>8</v>
      </c>
      <c r="N140">
        <v>9</v>
      </c>
      <c r="O140" t="s">
        <v>133</v>
      </c>
      <c r="Q140" t="s">
        <v>7</v>
      </c>
      <c r="R140" t="s">
        <v>8</v>
      </c>
      <c r="S140" t="s">
        <v>134</v>
      </c>
      <c r="T140" t="s">
        <v>135</v>
      </c>
      <c r="U140" t="s">
        <v>136</v>
      </c>
      <c r="V140" s="8" t="s">
        <v>137</v>
      </c>
    </row>
    <row r="141" spans="1:22" x14ac:dyDescent="0.2">
      <c r="A141" t="s">
        <v>7</v>
      </c>
      <c r="D141">
        <v>3001</v>
      </c>
      <c r="E141" s="3">
        <v>1.0999999999999999E-2</v>
      </c>
      <c r="F141" s="3">
        <v>2E-3</v>
      </c>
      <c r="G141" s="3">
        <v>2E-3</v>
      </c>
      <c r="H141" s="3">
        <v>7.0000000000000001E-3</v>
      </c>
      <c r="I141" s="3">
        <v>6.0000000000000001E-3</v>
      </c>
      <c r="J141" s="3">
        <v>2.4E-2</v>
      </c>
      <c r="K141" s="3">
        <v>1.4999999999999999E-2</v>
      </c>
      <c r="L141" s="3">
        <v>3.7999999999999999E-2</v>
      </c>
      <c r="M141" s="3">
        <v>9.6000000000000002E-2</v>
      </c>
      <c r="N141" s="3">
        <v>0.104</v>
      </c>
      <c r="O141" s="3">
        <v>0.69499999999999995</v>
      </c>
      <c r="P141" t="s">
        <v>13</v>
      </c>
      <c r="Q141" s="3">
        <v>1</v>
      </c>
      <c r="R141">
        <v>9.1999999999999993</v>
      </c>
      <c r="S141" s="3">
        <v>0.79900000000000004</v>
      </c>
      <c r="T141" s="3">
        <v>0.13400000000000001</v>
      </c>
      <c r="U141" s="3">
        <v>6.7000000000000004E-2</v>
      </c>
      <c r="V141" s="9">
        <f>S141-U141</f>
        <v>0.73199999999999998</v>
      </c>
    </row>
    <row r="142" spans="1:22" x14ac:dyDescent="0.2">
      <c r="A142" t="s">
        <v>100</v>
      </c>
      <c r="D142">
        <v>515</v>
      </c>
      <c r="E142" s="3">
        <v>0.01</v>
      </c>
      <c r="F142" s="3">
        <v>4.0000000000000001E-3</v>
      </c>
      <c r="G142" s="3">
        <v>6.0000000000000001E-3</v>
      </c>
      <c r="H142" s="3">
        <v>0.01</v>
      </c>
      <c r="I142" s="3">
        <v>0.01</v>
      </c>
      <c r="J142" s="3">
        <v>3.3000000000000002E-2</v>
      </c>
      <c r="K142" s="3">
        <v>1.7000000000000001E-2</v>
      </c>
      <c r="L142" s="3">
        <v>5.1999999999999998E-2</v>
      </c>
      <c r="M142" s="3">
        <v>7.5999999999999998E-2</v>
      </c>
      <c r="N142" s="3">
        <v>0.105</v>
      </c>
      <c r="O142" s="3">
        <v>0.67800000000000005</v>
      </c>
      <c r="P142" t="s">
        <v>13</v>
      </c>
      <c r="Q142" s="3">
        <v>1</v>
      </c>
      <c r="R142">
        <v>9</v>
      </c>
      <c r="S142" s="3">
        <v>0.78300000000000003</v>
      </c>
      <c r="T142" s="3">
        <v>0.128</v>
      </c>
      <c r="U142" s="3">
        <v>8.8999999999999996E-2</v>
      </c>
      <c r="V142" s="9">
        <f t="shared" ref="V142:V146" si="0">S142-U142</f>
        <v>0.69400000000000006</v>
      </c>
    </row>
    <row r="143" spans="1:22" x14ac:dyDescent="0.2">
      <c r="A143" t="s">
        <v>101</v>
      </c>
      <c r="D143">
        <v>38</v>
      </c>
      <c r="E143" s="3">
        <v>2.5999999999999999E-2</v>
      </c>
      <c r="F143" t="s">
        <v>12</v>
      </c>
      <c r="G143" t="s">
        <v>12</v>
      </c>
      <c r="H143" t="s">
        <v>12</v>
      </c>
      <c r="I143" t="s">
        <v>12</v>
      </c>
      <c r="J143" s="3">
        <v>5.2999999999999999E-2</v>
      </c>
      <c r="K143" t="s">
        <v>12</v>
      </c>
      <c r="L143" s="3">
        <v>2.5999999999999999E-2</v>
      </c>
      <c r="M143" s="3">
        <v>0.105</v>
      </c>
      <c r="N143" s="3">
        <v>0.184</v>
      </c>
      <c r="O143" s="3">
        <v>0.60499999999999998</v>
      </c>
      <c r="P143" t="s">
        <v>13</v>
      </c>
      <c r="Q143" s="3">
        <v>1</v>
      </c>
      <c r="R143">
        <v>9</v>
      </c>
      <c r="S143" s="3">
        <v>0.78900000000000003</v>
      </c>
      <c r="T143" s="3">
        <v>0.13200000000000001</v>
      </c>
      <c r="U143" s="3">
        <v>7.9000000000000001E-2</v>
      </c>
      <c r="V143" s="9">
        <f t="shared" si="0"/>
        <v>0.71000000000000008</v>
      </c>
    </row>
    <row r="144" spans="1:22" x14ac:dyDescent="0.2">
      <c r="A144" t="s">
        <v>62</v>
      </c>
      <c r="D144">
        <v>1000</v>
      </c>
      <c r="E144" s="3">
        <v>6.0000000000000001E-3</v>
      </c>
      <c r="F144" t="s">
        <v>12</v>
      </c>
      <c r="G144" s="3">
        <v>2E-3</v>
      </c>
      <c r="H144" s="3">
        <v>4.0000000000000001E-3</v>
      </c>
      <c r="I144" s="3">
        <v>5.0000000000000001E-3</v>
      </c>
      <c r="J144" s="3">
        <v>2.3E-2</v>
      </c>
      <c r="K144" s="3">
        <v>1.2999999999999999E-2</v>
      </c>
      <c r="L144" s="3">
        <v>3.5999999999999997E-2</v>
      </c>
      <c r="M144" s="3">
        <v>0.104</v>
      </c>
      <c r="N144" s="3">
        <v>9.6000000000000002E-2</v>
      </c>
      <c r="O144" s="3">
        <v>0.71099999999999997</v>
      </c>
      <c r="P144" t="s">
        <v>13</v>
      </c>
      <c r="Q144" s="3">
        <v>1</v>
      </c>
      <c r="R144">
        <v>9.3000000000000007</v>
      </c>
      <c r="S144" s="3">
        <v>0.80700000000000005</v>
      </c>
      <c r="T144" s="3">
        <v>0.14000000000000001</v>
      </c>
      <c r="U144" s="3">
        <v>5.2999999999999999E-2</v>
      </c>
      <c r="V144" s="9">
        <f t="shared" si="0"/>
        <v>0.754</v>
      </c>
    </row>
    <row r="145" spans="1:451" x14ac:dyDescent="0.2">
      <c r="A145" t="s">
        <v>63</v>
      </c>
      <c r="D145">
        <v>1167</v>
      </c>
      <c r="E145" s="3">
        <v>6.0000000000000001E-3</v>
      </c>
      <c r="F145" s="3">
        <v>1E-3</v>
      </c>
      <c r="G145" s="3">
        <v>1E-3</v>
      </c>
      <c r="H145" s="3">
        <v>7.0000000000000001E-3</v>
      </c>
      <c r="I145" s="3">
        <v>4.0000000000000001E-3</v>
      </c>
      <c r="J145" s="3">
        <v>1.7999999999999999E-2</v>
      </c>
      <c r="K145" s="3">
        <v>1.2999999999999999E-2</v>
      </c>
      <c r="L145" s="3">
        <v>2.9000000000000001E-2</v>
      </c>
      <c r="M145" s="3">
        <v>0.10100000000000001</v>
      </c>
      <c r="N145" s="3">
        <v>0.105</v>
      </c>
      <c r="O145" s="3">
        <v>0.71499999999999997</v>
      </c>
      <c r="P145" t="s">
        <v>13</v>
      </c>
      <c r="Q145" s="3">
        <v>1</v>
      </c>
      <c r="R145">
        <v>9.3000000000000007</v>
      </c>
      <c r="S145" s="3">
        <v>0.82</v>
      </c>
      <c r="T145" s="3">
        <v>0.13</v>
      </c>
      <c r="U145" s="3">
        <v>0.05</v>
      </c>
      <c r="V145" s="9">
        <f t="shared" si="0"/>
        <v>0.76999999999999991</v>
      </c>
    </row>
    <row r="146" spans="1:451" x14ac:dyDescent="0.2">
      <c r="A146" t="s">
        <v>122</v>
      </c>
      <c r="D146">
        <v>281</v>
      </c>
      <c r="E146" s="3">
        <v>0.05</v>
      </c>
      <c r="F146" s="3">
        <v>7.0000000000000001E-3</v>
      </c>
      <c r="G146" s="3">
        <v>4.0000000000000001E-3</v>
      </c>
      <c r="H146" s="3">
        <v>1.0999999999999999E-2</v>
      </c>
      <c r="I146" s="3">
        <v>1.0999999999999999E-2</v>
      </c>
      <c r="J146" s="3">
        <v>2.8000000000000001E-2</v>
      </c>
      <c r="K146" s="3">
        <v>3.2000000000000001E-2</v>
      </c>
      <c r="L146" s="3">
        <v>5.2999999999999999E-2</v>
      </c>
      <c r="M146" s="3">
        <v>8.5000000000000006E-2</v>
      </c>
      <c r="N146" s="3">
        <v>0.114</v>
      </c>
      <c r="O146" s="3">
        <v>0.60499999999999998</v>
      </c>
      <c r="P146" t="s">
        <v>13</v>
      </c>
      <c r="Q146" s="3">
        <v>1</v>
      </c>
      <c r="R146">
        <v>8.6</v>
      </c>
      <c r="S146" s="3">
        <v>0.71899999999999997</v>
      </c>
      <c r="T146" s="3">
        <v>0.13900000000000001</v>
      </c>
      <c r="U146" s="3">
        <v>0.14199999999999999</v>
      </c>
      <c r="V146" s="9">
        <f t="shared" si="0"/>
        <v>0.57699999999999996</v>
      </c>
    </row>
    <row r="147" spans="1:451" s="7" customFormat="1" x14ac:dyDescent="0.2"/>
    <row r="148" spans="1:451" s="10" customFormat="1" x14ac:dyDescent="0.2">
      <c r="A148"/>
      <c r="B148" t="s">
        <v>7</v>
      </c>
      <c r="C148" t="s">
        <v>100</v>
      </c>
      <c r="D148" t="s">
        <v>101</v>
      </c>
      <c r="E148" t="s">
        <v>62</v>
      </c>
      <c r="F148" t="s">
        <v>63</v>
      </c>
      <c r="G148" t="s">
        <v>122</v>
      </c>
      <c r="H148" t="s">
        <v>138</v>
      </c>
      <c r="I148" t="s">
        <v>139</v>
      </c>
      <c r="J148" t="s">
        <v>140</v>
      </c>
      <c r="K148" t="s">
        <v>141</v>
      </c>
      <c r="L148" t="s">
        <v>142</v>
      </c>
      <c r="M148" t="s">
        <v>143</v>
      </c>
      <c r="N148" t="s">
        <v>144</v>
      </c>
      <c r="O148" t="s">
        <v>145</v>
      </c>
      <c r="P148" t="s">
        <v>146</v>
      </c>
      <c r="Q148" t="s">
        <v>147</v>
      </c>
      <c r="R148" t="s">
        <v>148</v>
      </c>
      <c r="S148" t="s">
        <v>149</v>
      </c>
      <c r="T148" t="s">
        <v>150</v>
      </c>
      <c r="U148" t="s">
        <v>151</v>
      </c>
      <c r="V148" t="s">
        <v>152</v>
      </c>
      <c r="W148" t="s">
        <v>153</v>
      </c>
      <c r="X148" t="s">
        <v>154</v>
      </c>
      <c r="Y148" t="s">
        <v>155</v>
      </c>
      <c r="Z148" t="s">
        <v>156</v>
      </c>
      <c r="AA148" t="s">
        <v>157</v>
      </c>
      <c r="AB148" t="s">
        <v>158</v>
      </c>
      <c r="AC148" t="s">
        <v>159</v>
      </c>
      <c r="AD148" t="s">
        <v>160</v>
      </c>
      <c r="AE148" t="s">
        <v>161</v>
      </c>
      <c r="AF148" t="s">
        <v>162</v>
      </c>
      <c r="AG148" t="s">
        <v>163</v>
      </c>
      <c r="AH148" t="s">
        <v>164</v>
      </c>
      <c r="AI148" t="s">
        <v>165</v>
      </c>
      <c r="AJ148" t="s">
        <v>166</v>
      </c>
      <c r="AK148" t="s">
        <v>167</v>
      </c>
      <c r="AL148" t="s">
        <v>168</v>
      </c>
      <c r="AM148" t="s">
        <v>169</v>
      </c>
      <c r="AN148" t="s">
        <v>170</v>
      </c>
      <c r="AO148" t="s">
        <v>171</v>
      </c>
      <c r="AP148" t="s">
        <v>172</v>
      </c>
      <c r="AQ148" t="s">
        <v>169</v>
      </c>
      <c r="AR148" t="s">
        <v>173</v>
      </c>
      <c r="AS148" t="s">
        <v>174</v>
      </c>
      <c r="AT148" t="s">
        <v>175</v>
      </c>
      <c r="AU148" t="s">
        <v>176</v>
      </c>
      <c r="AV148" t="s">
        <v>177</v>
      </c>
      <c r="AW148" t="s">
        <v>178</v>
      </c>
      <c r="AX148" t="s">
        <v>179</v>
      </c>
      <c r="AY148" t="s">
        <v>180</v>
      </c>
      <c r="AZ148" t="s">
        <v>181</v>
      </c>
      <c r="BA148" t="s">
        <v>159</v>
      </c>
      <c r="BB148" t="s">
        <v>169</v>
      </c>
      <c r="BC148" t="s">
        <v>138</v>
      </c>
      <c r="BD148" t="s">
        <v>139</v>
      </c>
      <c r="BE148" t="s">
        <v>140</v>
      </c>
      <c r="BF148" t="s">
        <v>141</v>
      </c>
      <c r="BG148" t="s">
        <v>182</v>
      </c>
      <c r="BH148" t="s">
        <v>144</v>
      </c>
      <c r="BI148" t="s">
        <v>142</v>
      </c>
      <c r="BJ148" s="7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</row>
    <row r="149" spans="1:451" s="10" customFormat="1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s="7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</row>
    <row r="150" spans="1:451" s="10" customFormat="1" x14ac:dyDescent="0.2">
      <c r="A150" s="2" t="s">
        <v>183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s="7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</row>
    <row r="151" spans="1:451" s="10" customFormat="1" x14ac:dyDescent="0.2">
      <c r="A151" t="s">
        <v>131</v>
      </c>
      <c r="B151">
        <v>3001</v>
      </c>
      <c r="C151">
        <v>515</v>
      </c>
      <c r="D151">
        <v>38</v>
      </c>
      <c r="E151">
        <v>1000</v>
      </c>
      <c r="F151">
        <v>1167</v>
      </c>
      <c r="G151">
        <v>281</v>
      </c>
      <c r="H151">
        <v>0</v>
      </c>
      <c r="I151">
        <v>10</v>
      </c>
      <c r="J151">
        <v>18</v>
      </c>
      <c r="K151">
        <v>3</v>
      </c>
      <c r="L151">
        <v>0</v>
      </c>
      <c r="M151">
        <v>2</v>
      </c>
      <c r="N151">
        <v>5</v>
      </c>
      <c r="O151">
        <v>2167</v>
      </c>
      <c r="P151">
        <v>820</v>
      </c>
      <c r="Q151">
        <v>0</v>
      </c>
      <c r="R151">
        <v>1</v>
      </c>
      <c r="S151">
        <v>0</v>
      </c>
      <c r="T151">
        <v>13</v>
      </c>
      <c r="U151">
        <v>1403</v>
      </c>
      <c r="V151">
        <v>1598</v>
      </c>
      <c r="W151">
        <v>1661</v>
      </c>
      <c r="X151">
        <v>55</v>
      </c>
      <c r="Y151">
        <v>35</v>
      </c>
      <c r="Z151">
        <v>673</v>
      </c>
      <c r="AA151">
        <v>555</v>
      </c>
      <c r="AB151">
        <v>11</v>
      </c>
      <c r="AC151">
        <v>11</v>
      </c>
      <c r="AD151">
        <v>0</v>
      </c>
      <c r="AE151">
        <v>567</v>
      </c>
      <c r="AF151">
        <v>2403</v>
      </c>
      <c r="AG151">
        <v>31</v>
      </c>
      <c r="AH151">
        <v>644</v>
      </c>
      <c r="AI151">
        <v>172</v>
      </c>
      <c r="AJ151">
        <v>2015</v>
      </c>
      <c r="AK151">
        <v>111</v>
      </c>
      <c r="AL151">
        <v>30</v>
      </c>
      <c r="AM151">
        <v>29</v>
      </c>
      <c r="AN151">
        <v>1917</v>
      </c>
      <c r="AO151">
        <v>965</v>
      </c>
      <c r="AP151">
        <v>82</v>
      </c>
      <c r="AQ151">
        <v>37</v>
      </c>
      <c r="AR151">
        <v>1049</v>
      </c>
      <c r="AS151">
        <v>1472</v>
      </c>
      <c r="AT151">
        <v>59</v>
      </c>
      <c r="AU151">
        <v>0</v>
      </c>
      <c r="AV151">
        <v>55</v>
      </c>
      <c r="AW151">
        <v>20</v>
      </c>
      <c r="AX151">
        <v>97</v>
      </c>
      <c r="AY151">
        <v>188</v>
      </c>
      <c r="AZ151">
        <v>0</v>
      </c>
      <c r="BA151">
        <v>11</v>
      </c>
      <c r="BB151">
        <v>50</v>
      </c>
      <c r="BC151">
        <v>176</v>
      </c>
      <c r="BD151">
        <v>371</v>
      </c>
      <c r="BE151">
        <v>1064</v>
      </c>
      <c r="BF151">
        <v>439</v>
      </c>
      <c r="BG151">
        <v>137</v>
      </c>
      <c r="BH151">
        <v>487</v>
      </c>
      <c r="BI151">
        <v>327</v>
      </c>
      <c r="BJ151" s="7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</row>
    <row r="152" spans="1:451" s="10" customFormat="1" x14ac:dyDescent="0.2">
      <c r="A152" t="s">
        <v>58</v>
      </c>
      <c r="B152" s="3">
        <v>0.77400000000000002</v>
      </c>
      <c r="C152" s="3">
        <v>0.76700000000000002</v>
      </c>
      <c r="D152" s="3">
        <v>0.76300000000000001</v>
      </c>
      <c r="E152" s="3">
        <v>0.77300000000000002</v>
      </c>
      <c r="F152" s="3">
        <v>0.80300000000000005</v>
      </c>
      <c r="G152" s="3">
        <v>0.67300000000000004</v>
      </c>
      <c r="H152" t="s">
        <v>12</v>
      </c>
      <c r="I152" s="3">
        <v>0.6</v>
      </c>
      <c r="J152" s="3">
        <v>0.83299999999999996</v>
      </c>
      <c r="K152" s="3">
        <v>0.66700000000000004</v>
      </c>
      <c r="L152" t="s">
        <v>12</v>
      </c>
      <c r="M152" s="3">
        <v>1</v>
      </c>
      <c r="N152" s="3">
        <v>0.8</v>
      </c>
      <c r="O152" s="3">
        <v>0.78900000000000003</v>
      </c>
      <c r="P152" s="3">
        <v>0.74</v>
      </c>
      <c r="Q152" t="s">
        <v>12</v>
      </c>
      <c r="R152" t="s">
        <v>12</v>
      </c>
      <c r="S152" t="s">
        <v>12</v>
      </c>
      <c r="T152" s="3">
        <v>0.46200000000000002</v>
      </c>
      <c r="U152" s="3">
        <v>0.78100000000000003</v>
      </c>
      <c r="V152" s="3">
        <v>0.76800000000000002</v>
      </c>
      <c r="W152" s="3">
        <v>0.77500000000000002</v>
      </c>
      <c r="X152" s="3">
        <v>0.89100000000000001</v>
      </c>
      <c r="Y152" s="3">
        <v>0.71399999999999997</v>
      </c>
      <c r="Z152" s="3">
        <v>0.78</v>
      </c>
      <c r="AA152" s="3">
        <v>0.755</v>
      </c>
      <c r="AB152" s="3">
        <v>0.63600000000000001</v>
      </c>
      <c r="AC152" s="3">
        <v>0.90900000000000003</v>
      </c>
      <c r="AD152" t="s">
        <v>12</v>
      </c>
      <c r="AE152" s="3">
        <v>0.81</v>
      </c>
      <c r="AF152" s="3">
        <v>0.76800000000000002</v>
      </c>
      <c r="AG152" s="3">
        <v>0.61299999999999999</v>
      </c>
      <c r="AH152" s="3">
        <v>0.78300000000000003</v>
      </c>
      <c r="AI152" s="3">
        <v>0.79700000000000004</v>
      </c>
      <c r="AJ152" s="3">
        <v>0.77200000000000002</v>
      </c>
      <c r="AK152" s="3">
        <v>0.80200000000000005</v>
      </c>
      <c r="AL152" s="3">
        <v>0.66700000000000004</v>
      </c>
      <c r="AM152" s="3">
        <v>0.621</v>
      </c>
      <c r="AN152" s="3">
        <v>0.748</v>
      </c>
      <c r="AO152" s="3">
        <v>0.82199999999999995</v>
      </c>
      <c r="AP152" s="3">
        <v>0.878</v>
      </c>
      <c r="AQ152" s="3">
        <v>0.64900000000000002</v>
      </c>
      <c r="AR152" s="3">
        <v>0.79600000000000004</v>
      </c>
      <c r="AS152" s="3">
        <v>0.75900000000000001</v>
      </c>
      <c r="AT152" s="3">
        <v>0.81399999999999995</v>
      </c>
      <c r="AU152" t="s">
        <v>12</v>
      </c>
      <c r="AV152" s="3">
        <v>0.745</v>
      </c>
      <c r="AW152" s="3">
        <v>0.8</v>
      </c>
      <c r="AX152" s="3">
        <v>0.74199999999999999</v>
      </c>
      <c r="AY152" s="3">
        <v>0.79800000000000004</v>
      </c>
      <c r="AZ152" t="s">
        <v>12</v>
      </c>
      <c r="BA152" s="3">
        <v>0.72699999999999998</v>
      </c>
      <c r="BB152" s="3">
        <v>0.72</v>
      </c>
      <c r="BC152" s="3">
        <v>0.76700000000000002</v>
      </c>
      <c r="BD152" s="3">
        <v>0.77600000000000002</v>
      </c>
      <c r="BE152" s="3">
        <v>0.78900000000000003</v>
      </c>
      <c r="BF152" s="3">
        <v>0.754</v>
      </c>
      <c r="BG152" s="3">
        <v>0.752</v>
      </c>
      <c r="BH152" s="3">
        <v>0.76400000000000001</v>
      </c>
      <c r="BI152" s="3">
        <v>0.78</v>
      </c>
      <c r="BJ152" s="7"/>
      <c r="BK152"/>
      <c r="BL152" s="3"/>
      <c r="BM152"/>
      <c r="BN152"/>
      <c r="BO152"/>
      <c r="BP152"/>
      <c r="BQ152"/>
      <c r="BR152"/>
      <c r="BS152"/>
      <c r="BT152" s="3"/>
      <c r="BU152"/>
      <c r="BV152"/>
      <c r="BW152"/>
      <c r="BX152"/>
      <c r="BY152"/>
      <c r="BZ152" s="3"/>
      <c r="CA152"/>
      <c r="CB152"/>
      <c r="CC152"/>
      <c r="CD152"/>
      <c r="CE152" s="3"/>
      <c r="CF152"/>
      <c r="CG152"/>
      <c r="CH152"/>
      <c r="CI152"/>
      <c r="CJ152" s="3"/>
      <c r="CK152"/>
      <c r="CL152" s="3"/>
      <c r="CM152" s="3"/>
      <c r="CN152"/>
      <c r="CO152"/>
      <c r="CP152"/>
      <c r="CQ152"/>
      <c r="CR152"/>
      <c r="CS152"/>
      <c r="CT152" s="3"/>
      <c r="CU152"/>
      <c r="CV152"/>
      <c r="CW152"/>
      <c r="CX152"/>
      <c r="CY152"/>
      <c r="CZ152"/>
      <c r="DA152"/>
      <c r="DB152"/>
      <c r="DC152"/>
      <c r="DD152"/>
      <c r="DE152"/>
      <c r="DF152"/>
      <c r="DG152" s="3"/>
      <c r="DH152" s="3"/>
      <c r="DI152"/>
      <c r="DJ152"/>
      <c r="DK152"/>
      <c r="DL152" s="3"/>
      <c r="DM152"/>
      <c r="DN152"/>
      <c r="DO152"/>
      <c r="DP152"/>
      <c r="DQ152"/>
      <c r="DR152"/>
      <c r="DS152"/>
      <c r="DT152" s="3"/>
      <c r="DU152" s="3"/>
      <c r="DV152" s="3"/>
      <c r="DW152"/>
      <c r="DX152" s="3"/>
      <c r="DY152"/>
      <c r="DZ152"/>
      <c r="EA152"/>
      <c r="EB152"/>
      <c r="EC152"/>
      <c r="ED152"/>
      <c r="EE152"/>
      <c r="EF152"/>
      <c r="EG152" s="3"/>
      <c r="EH152"/>
      <c r="EI152"/>
      <c r="EJ152" s="3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 s="3"/>
      <c r="FB152"/>
      <c r="FC152"/>
      <c r="FD152"/>
      <c r="FE152"/>
      <c r="FF152" s="3"/>
      <c r="FG152" s="3"/>
      <c r="FH152"/>
      <c r="FI152" s="3"/>
      <c r="FJ152" s="3"/>
      <c r="FK152" s="3"/>
      <c r="FL152" s="3"/>
      <c r="FM152"/>
      <c r="FN152" s="3"/>
      <c r="FO152"/>
      <c r="FP152"/>
      <c r="FQ152"/>
      <c r="FR152"/>
      <c r="FS152"/>
      <c r="FT152"/>
      <c r="FU152"/>
      <c r="FV152" s="3"/>
      <c r="FW152" s="3"/>
      <c r="FX152" s="3"/>
      <c r="FY152" s="3"/>
      <c r="FZ152"/>
      <c r="GA152" s="3"/>
      <c r="GB152"/>
      <c r="GC152" s="3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 s="3"/>
      <c r="HQ152"/>
      <c r="HR152"/>
      <c r="HS152" s="3"/>
      <c r="HT152"/>
      <c r="HU152" s="3"/>
      <c r="HV152"/>
      <c r="HW152"/>
      <c r="HX152"/>
      <c r="HY152"/>
      <c r="HZ152"/>
      <c r="IA152"/>
      <c r="IB152" s="3"/>
      <c r="IC152" s="3"/>
      <c r="ID152" s="3"/>
      <c r="IE152"/>
      <c r="IF152"/>
      <c r="IG152"/>
      <c r="IH152"/>
      <c r="II152"/>
      <c r="IJ152" s="3"/>
      <c r="IK152"/>
      <c r="IL152" s="3"/>
      <c r="IM152" s="3"/>
      <c r="IN152"/>
      <c r="IO152" s="3"/>
      <c r="IP152" s="3"/>
      <c r="IQ152"/>
      <c r="IR152" s="3"/>
      <c r="IS152" s="3"/>
      <c r="IT152"/>
      <c r="IU152" s="3"/>
      <c r="IV152" s="3"/>
      <c r="IW152"/>
      <c r="IX152"/>
      <c r="IY152" s="3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 s="3"/>
      <c r="JX152"/>
      <c r="JY152"/>
      <c r="JZ152"/>
      <c r="KA152"/>
      <c r="KB152"/>
      <c r="KC152"/>
      <c r="KD152"/>
      <c r="KE152"/>
      <c r="KF152"/>
      <c r="KG152" s="3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 s="3"/>
      <c r="KV152"/>
      <c r="KW152"/>
      <c r="KX152"/>
      <c r="KY152" s="3"/>
      <c r="KZ152"/>
      <c r="LA152"/>
      <c r="LB152"/>
      <c r="LC152"/>
      <c r="LD152"/>
      <c r="LE152"/>
      <c r="LF152"/>
      <c r="LG152"/>
      <c r="LH152" s="3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 s="3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 s="3"/>
      <c r="NJ152"/>
      <c r="NK152"/>
      <c r="NL152" s="3"/>
      <c r="NM152"/>
      <c r="NN152"/>
      <c r="NO152"/>
      <c r="NP152" s="3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</row>
    <row r="153" spans="1:451" s="10" customFormat="1" x14ac:dyDescent="0.2">
      <c r="A153" t="s">
        <v>59</v>
      </c>
      <c r="B153" s="3">
        <v>0.158</v>
      </c>
      <c r="C153" s="3">
        <v>0.14199999999999999</v>
      </c>
      <c r="D153" s="3">
        <v>0.158</v>
      </c>
      <c r="E153" s="3">
        <v>0.17799999999999999</v>
      </c>
      <c r="F153" s="3">
        <v>0.151</v>
      </c>
      <c r="G153" s="3">
        <v>0.14599999999999999</v>
      </c>
      <c r="H153" t="s">
        <v>12</v>
      </c>
      <c r="I153" s="3">
        <v>0.3</v>
      </c>
      <c r="J153" s="3">
        <v>0.111</v>
      </c>
      <c r="K153" s="3">
        <v>0.33300000000000002</v>
      </c>
      <c r="L153" t="s">
        <v>12</v>
      </c>
      <c r="M153" t="s">
        <v>12</v>
      </c>
      <c r="N153" t="s">
        <v>12</v>
      </c>
      <c r="O153" s="3">
        <v>0.16300000000000001</v>
      </c>
      <c r="P153" s="3">
        <v>0.14099999999999999</v>
      </c>
      <c r="Q153" t="s">
        <v>12</v>
      </c>
      <c r="R153" t="s">
        <v>12</v>
      </c>
      <c r="S153" t="s">
        <v>12</v>
      </c>
      <c r="T153" s="3">
        <v>0.308</v>
      </c>
      <c r="U153" s="3">
        <v>0.14299999999999999</v>
      </c>
      <c r="V153" s="3">
        <v>0.17100000000000001</v>
      </c>
      <c r="W153" s="3">
        <v>0.16300000000000001</v>
      </c>
      <c r="X153" s="3">
        <v>9.0999999999999998E-2</v>
      </c>
      <c r="Y153" s="3">
        <v>0.2</v>
      </c>
      <c r="Z153" s="3">
        <v>0.13500000000000001</v>
      </c>
      <c r="AA153" s="3">
        <v>0.17499999999999999</v>
      </c>
      <c r="AB153" s="3">
        <v>0.182</v>
      </c>
      <c r="AC153" s="3">
        <v>9.0999999999999998E-2</v>
      </c>
      <c r="AD153" t="s">
        <v>12</v>
      </c>
      <c r="AE153" s="3">
        <v>0.13200000000000001</v>
      </c>
      <c r="AF153" s="3">
        <v>0.16400000000000001</v>
      </c>
      <c r="AG153" s="3">
        <v>0.19400000000000001</v>
      </c>
      <c r="AH153" s="3">
        <v>0.14399999999999999</v>
      </c>
      <c r="AI153" s="3">
        <v>0.14000000000000001</v>
      </c>
      <c r="AJ153" s="3">
        <v>0.161</v>
      </c>
      <c r="AK153" s="3">
        <v>0.14399999999999999</v>
      </c>
      <c r="AL153" s="3">
        <v>0.3</v>
      </c>
      <c r="AM153" s="3">
        <v>0.27600000000000002</v>
      </c>
      <c r="AN153" s="3">
        <v>0.18</v>
      </c>
      <c r="AO153" s="3">
        <v>0.113</v>
      </c>
      <c r="AP153" s="3">
        <v>8.5000000000000006E-2</v>
      </c>
      <c r="AQ153" s="3">
        <v>0.32400000000000001</v>
      </c>
      <c r="AR153" s="3">
        <v>0.13700000000000001</v>
      </c>
      <c r="AS153" s="3">
        <v>0.17299999999999999</v>
      </c>
      <c r="AT153" s="3">
        <v>0.10199999999999999</v>
      </c>
      <c r="AU153" t="s">
        <v>12</v>
      </c>
      <c r="AV153" s="3">
        <v>0.127</v>
      </c>
      <c r="AW153" s="3">
        <v>0.15</v>
      </c>
      <c r="AX153" s="3">
        <v>0.17499999999999999</v>
      </c>
      <c r="AY153" s="3">
        <v>0.16</v>
      </c>
      <c r="AZ153" t="s">
        <v>12</v>
      </c>
      <c r="BA153" s="3">
        <v>9.0999999999999998E-2</v>
      </c>
      <c r="BB153" s="3">
        <v>0.24</v>
      </c>
      <c r="BC153" s="3">
        <v>0.125</v>
      </c>
      <c r="BD153" s="3">
        <v>0.13500000000000001</v>
      </c>
      <c r="BE153" s="3">
        <v>0.15</v>
      </c>
      <c r="BF153" s="3">
        <v>0.16600000000000001</v>
      </c>
      <c r="BG153" s="3">
        <v>0.19</v>
      </c>
      <c r="BH153" s="3">
        <v>0.18099999999999999</v>
      </c>
      <c r="BI153" s="3">
        <v>0.16800000000000001</v>
      </c>
      <c r="BJ153" s="7"/>
      <c r="BK153"/>
      <c r="BL153" s="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 s="3"/>
      <c r="CA153"/>
      <c r="CB153"/>
      <c r="CC153"/>
      <c r="CD153"/>
      <c r="CE153" s="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 s="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 s="3"/>
      <c r="DI153"/>
      <c r="DJ153"/>
      <c r="DK153"/>
      <c r="DL153" s="3"/>
      <c r="DM153"/>
      <c r="DN153"/>
      <c r="DO153"/>
      <c r="DP153"/>
      <c r="DQ153"/>
      <c r="DR153"/>
      <c r="DS153"/>
      <c r="DT153" s="3"/>
      <c r="DU153" s="3"/>
      <c r="DV153"/>
      <c r="DW153"/>
      <c r="DX153"/>
      <c r="DY153" s="3"/>
      <c r="DZ153"/>
      <c r="EA153"/>
      <c r="EB153"/>
      <c r="EC153"/>
      <c r="ED153"/>
      <c r="EE153"/>
      <c r="EF153"/>
      <c r="EG153"/>
      <c r="EH153"/>
      <c r="EI153"/>
      <c r="EJ153" s="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 s="3"/>
      <c r="FB153"/>
      <c r="FC153"/>
      <c r="FD153"/>
      <c r="FE153"/>
      <c r="FF153"/>
      <c r="FG153" s="3"/>
      <c r="FH153"/>
      <c r="FI153"/>
      <c r="FJ153"/>
      <c r="FK153" s="3"/>
      <c r="FL153" s="3"/>
      <c r="FM153" s="3"/>
      <c r="FN153"/>
      <c r="FO153"/>
      <c r="FP153"/>
      <c r="FQ153"/>
      <c r="FR153"/>
      <c r="FS153"/>
      <c r="FT153"/>
      <c r="FU153"/>
      <c r="FV153" s="3"/>
      <c r="FW153"/>
      <c r="FX153" s="3"/>
      <c r="FY153" s="3"/>
      <c r="FZ153"/>
      <c r="GA153" s="3"/>
      <c r="GB153"/>
      <c r="GC153" s="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 s="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 s="3"/>
      <c r="HT153"/>
      <c r="HU153" s="3"/>
      <c r="HV153"/>
      <c r="HW153"/>
      <c r="HX153"/>
      <c r="HY153"/>
      <c r="HZ153"/>
      <c r="IA153"/>
      <c r="IB153" s="3"/>
      <c r="IC153"/>
      <c r="ID153"/>
      <c r="IE153"/>
      <c r="IF153" s="3"/>
      <c r="IG153"/>
      <c r="IH153"/>
      <c r="II153"/>
      <c r="IJ153"/>
      <c r="IK153" s="3"/>
      <c r="IL153" s="3"/>
      <c r="IM153"/>
      <c r="IN153"/>
      <c r="IO153"/>
      <c r="IP153" s="3"/>
      <c r="IQ153"/>
      <c r="IR153" s="3"/>
      <c r="IS153" s="3"/>
      <c r="IT153"/>
      <c r="IU153" s="3"/>
      <c r="IV153" s="3"/>
      <c r="IW153"/>
      <c r="IX153"/>
      <c r="IY153" s="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 s="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 s="3"/>
      <c r="KV153"/>
      <c r="KW153"/>
      <c r="KX153"/>
      <c r="KY153" s="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 s="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 s="3"/>
      <c r="NJ153"/>
      <c r="NK153" s="3"/>
      <c r="NL153" s="3"/>
      <c r="NM153"/>
      <c r="NN153"/>
      <c r="NO153"/>
      <c r="NP153" s="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</row>
    <row r="154" spans="1:451" s="10" customFormat="1" x14ac:dyDescent="0.2">
      <c r="A154" t="s">
        <v>4</v>
      </c>
      <c r="B154" s="3">
        <v>3.9E-2</v>
      </c>
      <c r="C154" s="3">
        <v>5.3999999999999999E-2</v>
      </c>
      <c r="D154" s="3">
        <v>5.2999999999999999E-2</v>
      </c>
      <c r="E154" s="3">
        <v>0.03</v>
      </c>
      <c r="F154" s="3">
        <v>0.03</v>
      </c>
      <c r="G154" s="3">
        <v>8.2000000000000003E-2</v>
      </c>
      <c r="H154" t="s">
        <v>12</v>
      </c>
      <c r="I154" s="3">
        <v>0.1</v>
      </c>
      <c r="J154" t="s">
        <v>12</v>
      </c>
      <c r="K154" t="s">
        <v>12</v>
      </c>
      <c r="L154" t="s">
        <v>12</v>
      </c>
      <c r="M154" t="s">
        <v>12</v>
      </c>
      <c r="N154" s="3">
        <v>0.2</v>
      </c>
      <c r="O154" s="3">
        <v>0.03</v>
      </c>
      <c r="P154" s="3">
        <v>6.3E-2</v>
      </c>
      <c r="Q154" t="s">
        <v>12</v>
      </c>
      <c r="R154" t="s">
        <v>12</v>
      </c>
      <c r="S154" t="s">
        <v>12</v>
      </c>
      <c r="T154" s="3">
        <v>7.6999999999999999E-2</v>
      </c>
      <c r="U154" s="3">
        <v>4.5999999999999999E-2</v>
      </c>
      <c r="V154" s="3">
        <v>3.4000000000000002E-2</v>
      </c>
      <c r="W154" s="3">
        <v>3.6999999999999998E-2</v>
      </c>
      <c r="X154" t="s">
        <v>12</v>
      </c>
      <c r="Y154" s="3">
        <v>8.5999999999999993E-2</v>
      </c>
      <c r="Z154" s="3">
        <v>4.4999999999999998E-2</v>
      </c>
      <c r="AA154" s="3">
        <v>0.04</v>
      </c>
      <c r="AB154" s="3">
        <v>0.182</v>
      </c>
      <c r="AC154" t="s">
        <v>12</v>
      </c>
      <c r="AD154" t="s">
        <v>12</v>
      </c>
      <c r="AE154" s="3">
        <v>3.6999999999999998E-2</v>
      </c>
      <c r="AF154" s="3">
        <v>3.9E-2</v>
      </c>
      <c r="AG154" s="3">
        <v>0.129</v>
      </c>
      <c r="AH154" s="3">
        <v>4.2999999999999997E-2</v>
      </c>
      <c r="AI154" s="3">
        <v>4.1000000000000002E-2</v>
      </c>
      <c r="AJ154" s="3">
        <v>3.9E-2</v>
      </c>
      <c r="AK154" s="3">
        <v>3.5999999999999997E-2</v>
      </c>
      <c r="AL154" t="s">
        <v>12</v>
      </c>
      <c r="AM154" s="3">
        <v>3.4000000000000002E-2</v>
      </c>
      <c r="AN154" s="3">
        <v>0.04</v>
      </c>
      <c r="AO154" s="3">
        <v>3.9E-2</v>
      </c>
      <c r="AP154" s="3">
        <v>2.4E-2</v>
      </c>
      <c r="AQ154" s="3">
        <v>2.7E-2</v>
      </c>
      <c r="AR154" s="3">
        <v>3.9E-2</v>
      </c>
      <c r="AS154" s="3">
        <v>3.6999999999999998E-2</v>
      </c>
      <c r="AT154" s="3">
        <v>5.0999999999999997E-2</v>
      </c>
      <c r="AU154" t="s">
        <v>12</v>
      </c>
      <c r="AV154" s="3">
        <v>7.2999999999999995E-2</v>
      </c>
      <c r="AW154" s="3">
        <v>0.05</v>
      </c>
      <c r="AX154" s="3">
        <v>6.2E-2</v>
      </c>
      <c r="AY154" s="3">
        <v>2.7E-2</v>
      </c>
      <c r="AZ154" t="s">
        <v>12</v>
      </c>
      <c r="BA154" s="3">
        <v>9.0999999999999998E-2</v>
      </c>
      <c r="BB154" s="3">
        <v>0.04</v>
      </c>
      <c r="BC154" s="3">
        <v>0.08</v>
      </c>
      <c r="BD154" s="3">
        <v>5.0999999999999997E-2</v>
      </c>
      <c r="BE154" s="3">
        <v>3.5000000000000003E-2</v>
      </c>
      <c r="BF154" s="3">
        <v>4.5999999999999999E-2</v>
      </c>
      <c r="BG154" s="3">
        <v>2.9000000000000001E-2</v>
      </c>
      <c r="BH154" s="3">
        <v>3.1E-2</v>
      </c>
      <c r="BI154" s="3">
        <v>2.8000000000000001E-2</v>
      </c>
      <c r="BJ154" s="7"/>
      <c r="BK154"/>
      <c r="BL154" s="3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 s="3"/>
      <c r="CA154"/>
      <c r="CB154"/>
      <c r="CC154"/>
      <c r="CD154"/>
      <c r="CE154" s="3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 s="3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 s="3"/>
      <c r="DM154"/>
      <c r="DN154"/>
      <c r="DO154"/>
      <c r="DP154"/>
      <c r="DQ154"/>
      <c r="DR154"/>
      <c r="DS154"/>
      <c r="DT154" s="3"/>
      <c r="DU154" s="3"/>
      <c r="DV154"/>
      <c r="DW154" s="3"/>
      <c r="DX154"/>
      <c r="DY154"/>
      <c r="DZ154"/>
      <c r="EA154"/>
      <c r="EB154"/>
      <c r="EC154"/>
      <c r="ED154"/>
      <c r="EE154"/>
      <c r="EF154"/>
      <c r="EG154"/>
      <c r="EH154"/>
      <c r="EI154"/>
      <c r="EJ154" s="3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 s="3"/>
      <c r="FB154"/>
      <c r="FC154"/>
      <c r="FD154"/>
      <c r="FE154"/>
      <c r="FF154" s="3"/>
      <c r="FG154" s="3"/>
      <c r="FH154"/>
      <c r="FI154"/>
      <c r="FJ154"/>
      <c r="FK154" s="3"/>
      <c r="FL154" s="3"/>
      <c r="FM154"/>
      <c r="FN154"/>
      <c r="FO154"/>
      <c r="FP154"/>
      <c r="FQ154"/>
      <c r="FR154"/>
      <c r="FS154"/>
      <c r="FT154"/>
      <c r="FU154"/>
      <c r="FV154" s="3"/>
      <c r="FW154"/>
      <c r="FX154"/>
      <c r="FY154"/>
      <c r="FZ154"/>
      <c r="GA154"/>
      <c r="GB154"/>
      <c r="GC154" s="3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 s="3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 s="3"/>
      <c r="HQ154"/>
      <c r="HR154"/>
      <c r="HS154"/>
      <c r="HT154"/>
      <c r="HU154" s="3"/>
      <c r="HV154"/>
      <c r="HW154"/>
      <c r="HX154"/>
      <c r="HY154"/>
      <c r="HZ154"/>
      <c r="IA154"/>
      <c r="IB154"/>
      <c r="IC154" s="3"/>
      <c r="ID154"/>
      <c r="IE154"/>
      <c r="IF154"/>
      <c r="IG154"/>
      <c r="IH154"/>
      <c r="II154"/>
      <c r="IJ154"/>
      <c r="IK154"/>
      <c r="IL154" s="3"/>
      <c r="IM154" s="3"/>
      <c r="IN154"/>
      <c r="IO154"/>
      <c r="IP154"/>
      <c r="IQ154"/>
      <c r="IR154"/>
      <c r="IS154"/>
      <c r="IT154"/>
      <c r="IU154"/>
      <c r="IV154" s="3"/>
      <c r="IW154"/>
      <c r="IX154"/>
      <c r="IY154" s="3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 s="3"/>
      <c r="KZ154"/>
      <c r="LA154"/>
      <c r="LB154"/>
      <c r="LC154"/>
      <c r="LD154"/>
      <c r="LE154"/>
      <c r="LF154"/>
      <c r="LG154"/>
      <c r="LH154" s="3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 s="3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</row>
    <row r="155" spans="1:451" s="10" customFormat="1" x14ac:dyDescent="0.2">
      <c r="A155" t="s">
        <v>60</v>
      </c>
      <c r="B155" s="3">
        <v>1.2999999999999999E-2</v>
      </c>
      <c r="C155" s="3">
        <v>2.1000000000000001E-2</v>
      </c>
      <c r="D155" t="s">
        <v>12</v>
      </c>
      <c r="E155" s="3">
        <v>1.2999999999999999E-2</v>
      </c>
      <c r="F155" s="3">
        <v>8.9999999999999993E-3</v>
      </c>
      <c r="G155" s="3">
        <v>2.1000000000000001E-2</v>
      </c>
      <c r="H155" t="s">
        <v>12</v>
      </c>
      <c r="I155" t="s">
        <v>12</v>
      </c>
      <c r="J155" t="s">
        <v>12</v>
      </c>
      <c r="K155" t="s">
        <v>12</v>
      </c>
      <c r="L155" t="s">
        <v>12</v>
      </c>
      <c r="M155" t="s">
        <v>12</v>
      </c>
      <c r="N155" t="s">
        <v>12</v>
      </c>
      <c r="O155" s="3">
        <v>1.0999999999999999E-2</v>
      </c>
      <c r="P155" s="3">
        <v>2.1000000000000001E-2</v>
      </c>
      <c r="Q155" t="s">
        <v>12</v>
      </c>
      <c r="R155" t="s">
        <v>12</v>
      </c>
      <c r="S155" t="s">
        <v>12</v>
      </c>
      <c r="T155" t="s">
        <v>12</v>
      </c>
      <c r="U155" s="3">
        <v>1.4E-2</v>
      </c>
      <c r="V155" s="3">
        <v>1.2999999999999999E-2</v>
      </c>
      <c r="W155" s="3">
        <v>1.2999999999999999E-2</v>
      </c>
      <c r="X155" s="3">
        <v>1.7999999999999999E-2</v>
      </c>
      <c r="Y155" t="s">
        <v>12</v>
      </c>
      <c r="Z155" s="3">
        <v>1.4999999999999999E-2</v>
      </c>
      <c r="AA155" s="3">
        <v>1.2999999999999999E-2</v>
      </c>
      <c r="AB155" t="s">
        <v>12</v>
      </c>
      <c r="AC155" t="s">
        <v>12</v>
      </c>
      <c r="AD155" t="s">
        <v>12</v>
      </c>
      <c r="AE155" s="3">
        <v>1.2E-2</v>
      </c>
      <c r="AF155" s="3">
        <v>1.2999999999999999E-2</v>
      </c>
      <c r="AG155" s="3">
        <v>3.2000000000000001E-2</v>
      </c>
      <c r="AH155" s="3">
        <v>1.4E-2</v>
      </c>
      <c r="AI155" s="3">
        <v>1.2E-2</v>
      </c>
      <c r="AJ155" s="3">
        <v>1.2999999999999999E-2</v>
      </c>
      <c r="AK155" s="3">
        <v>8.9999999999999993E-3</v>
      </c>
      <c r="AL155" s="3">
        <v>3.3000000000000002E-2</v>
      </c>
      <c r="AM155" t="s">
        <v>12</v>
      </c>
      <c r="AN155" s="3">
        <v>1.6E-2</v>
      </c>
      <c r="AO155" s="3">
        <v>8.9999999999999993E-3</v>
      </c>
      <c r="AP155" s="3">
        <v>1.2E-2</v>
      </c>
      <c r="AQ155" t="s">
        <v>12</v>
      </c>
      <c r="AR155" s="3">
        <v>0.01</v>
      </c>
      <c r="AS155" s="3">
        <v>1.7999999999999999E-2</v>
      </c>
      <c r="AT155" s="3">
        <v>1.7000000000000001E-2</v>
      </c>
      <c r="AU155" t="s">
        <v>12</v>
      </c>
      <c r="AV155" s="3">
        <v>1.7999999999999999E-2</v>
      </c>
      <c r="AW155" t="s">
        <v>12</v>
      </c>
      <c r="AX155" s="3">
        <v>0.01</v>
      </c>
      <c r="AY155" t="s">
        <v>12</v>
      </c>
      <c r="AZ155" t="s">
        <v>12</v>
      </c>
      <c r="BA155" t="s">
        <v>12</v>
      </c>
      <c r="BB155" t="s">
        <v>12</v>
      </c>
      <c r="BC155" s="3">
        <v>1.0999999999999999E-2</v>
      </c>
      <c r="BD155" s="3">
        <v>1.2999999999999999E-2</v>
      </c>
      <c r="BE155" s="3">
        <v>1.0999999999999999E-2</v>
      </c>
      <c r="BF155" s="3">
        <v>1.4E-2</v>
      </c>
      <c r="BG155" s="3">
        <v>2.1999999999999999E-2</v>
      </c>
      <c r="BH155" s="3">
        <v>1.6E-2</v>
      </c>
      <c r="BI155" s="3">
        <v>1.2E-2</v>
      </c>
      <c r="BJ155" s="7"/>
      <c r="BK155"/>
      <c r="BL155" s="3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 s="3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 s="3"/>
      <c r="DM155"/>
      <c r="DN155"/>
      <c r="DO155"/>
      <c r="DP155"/>
      <c r="DQ155"/>
      <c r="DR155"/>
      <c r="DS155"/>
      <c r="DT155" s="3"/>
      <c r="DU155" s="3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 s="3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 s="3"/>
      <c r="FZ155"/>
      <c r="GA155"/>
      <c r="GB155"/>
      <c r="GC155" s="3"/>
      <c r="GD155"/>
      <c r="GE155"/>
      <c r="GF155"/>
      <c r="GG155"/>
      <c r="GH155"/>
      <c r="GI155" s="3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 s="3"/>
      <c r="IN155"/>
      <c r="IO155"/>
      <c r="IP155"/>
      <c r="IQ155"/>
      <c r="IR155"/>
      <c r="IS155"/>
      <c r="IT155"/>
      <c r="IU155"/>
      <c r="IV155" s="3"/>
      <c r="IW155"/>
      <c r="IX155"/>
      <c r="IY155" s="3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 s="3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 s="3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</row>
    <row r="156" spans="1:451" s="10" customFormat="1" x14ac:dyDescent="0.2">
      <c r="A156" t="s">
        <v>61</v>
      </c>
      <c r="B156" s="3">
        <v>1.4999999999999999E-2</v>
      </c>
      <c r="C156" s="3">
        <v>1.6E-2</v>
      </c>
      <c r="D156" s="3">
        <v>2.5999999999999999E-2</v>
      </c>
      <c r="E156" s="3">
        <v>6.0000000000000001E-3</v>
      </c>
      <c r="F156" s="3">
        <v>8.0000000000000002E-3</v>
      </c>
      <c r="G156" s="3">
        <v>7.8E-2</v>
      </c>
      <c r="H156" t="s">
        <v>12</v>
      </c>
      <c r="I156" t="s">
        <v>12</v>
      </c>
      <c r="J156" s="3">
        <v>5.6000000000000001E-2</v>
      </c>
      <c r="K156" t="s">
        <v>12</v>
      </c>
      <c r="L156" t="s">
        <v>12</v>
      </c>
      <c r="M156" t="s">
        <v>12</v>
      </c>
      <c r="N156" t="s">
        <v>12</v>
      </c>
      <c r="O156" s="3">
        <v>7.0000000000000001E-3</v>
      </c>
      <c r="P156" s="3">
        <v>3.4000000000000002E-2</v>
      </c>
      <c r="Q156" t="s">
        <v>12</v>
      </c>
      <c r="R156" s="3">
        <v>1</v>
      </c>
      <c r="S156" t="s">
        <v>12</v>
      </c>
      <c r="T156" s="3">
        <v>0.154</v>
      </c>
      <c r="U156" s="3">
        <v>1.6E-2</v>
      </c>
      <c r="V156" s="3">
        <v>1.4E-2</v>
      </c>
      <c r="W156" s="3">
        <v>1.0999999999999999E-2</v>
      </c>
      <c r="X156" t="s">
        <v>12</v>
      </c>
      <c r="Y156" t="s">
        <v>12</v>
      </c>
      <c r="Z156" s="3">
        <v>2.5000000000000001E-2</v>
      </c>
      <c r="AA156" s="3">
        <v>1.7999999999999999E-2</v>
      </c>
      <c r="AB156" t="s">
        <v>12</v>
      </c>
      <c r="AC156" t="s">
        <v>12</v>
      </c>
      <c r="AD156" t="s">
        <v>12</v>
      </c>
      <c r="AE156" s="3">
        <v>8.9999999999999993E-3</v>
      </c>
      <c r="AF156" s="3">
        <v>1.7000000000000001E-2</v>
      </c>
      <c r="AG156" s="3">
        <v>3.2000000000000001E-2</v>
      </c>
      <c r="AH156" s="3">
        <v>1.6E-2</v>
      </c>
      <c r="AI156" s="3">
        <v>1.2E-2</v>
      </c>
      <c r="AJ156" s="3">
        <v>1.4999999999999999E-2</v>
      </c>
      <c r="AK156" s="3">
        <v>8.9999999999999993E-3</v>
      </c>
      <c r="AL156" t="s">
        <v>12</v>
      </c>
      <c r="AM156" s="3">
        <v>6.9000000000000006E-2</v>
      </c>
      <c r="AN156" s="3">
        <v>1.6E-2</v>
      </c>
      <c r="AO156" s="3">
        <v>1.7000000000000001E-2</v>
      </c>
      <c r="AP156" t="s">
        <v>12</v>
      </c>
      <c r="AQ156" t="s">
        <v>12</v>
      </c>
      <c r="AR156" s="3">
        <v>1.7000000000000001E-2</v>
      </c>
      <c r="AS156" s="3">
        <v>1.4E-2</v>
      </c>
      <c r="AT156" s="3">
        <v>1.7000000000000001E-2</v>
      </c>
      <c r="AU156" t="s">
        <v>12</v>
      </c>
      <c r="AV156" s="3">
        <v>3.5999999999999997E-2</v>
      </c>
      <c r="AW156" t="s">
        <v>12</v>
      </c>
      <c r="AX156" s="3">
        <v>0.01</v>
      </c>
      <c r="AY156" s="3">
        <v>1.6E-2</v>
      </c>
      <c r="AZ156" t="s">
        <v>12</v>
      </c>
      <c r="BA156" s="3">
        <v>9.0999999999999998E-2</v>
      </c>
      <c r="BB156" t="s">
        <v>12</v>
      </c>
      <c r="BC156" s="3">
        <v>1.7000000000000001E-2</v>
      </c>
      <c r="BD156" s="3">
        <v>2.4E-2</v>
      </c>
      <c r="BE156" s="3">
        <v>1.4999999999999999E-2</v>
      </c>
      <c r="BF156" s="3">
        <v>2.1000000000000001E-2</v>
      </c>
      <c r="BG156" s="3">
        <v>7.0000000000000001E-3</v>
      </c>
      <c r="BH156" s="3">
        <v>8.0000000000000002E-3</v>
      </c>
      <c r="BI156" s="3">
        <v>1.2E-2</v>
      </c>
      <c r="BJ156" s="7"/>
      <c r="BK156"/>
      <c r="BL156" s="3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 s="3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 s="3"/>
      <c r="DH156"/>
      <c r="DI156"/>
      <c r="DJ156"/>
      <c r="DK156"/>
      <c r="DL156" s="3"/>
      <c r="DM156"/>
      <c r="DN156"/>
      <c r="DO156"/>
      <c r="DP156"/>
      <c r="DQ156"/>
      <c r="DR156"/>
      <c r="DS156"/>
      <c r="DT156"/>
      <c r="DU156" s="3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 s="3"/>
      <c r="FB156" s="3"/>
      <c r="FC156"/>
      <c r="FD156"/>
      <c r="FE156"/>
      <c r="FF156" s="3"/>
      <c r="FG156"/>
      <c r="FH156"/>
      <c r="FI156" s="3"/>
      <c r="FJ156"/>
      <c r="FK156" s="3"/>
      <c r="FL156"/>
      <c r="FM156"/>
      <c r="FN156" s="3"/>
      <c r="FO156"/>
      <c r="FP156"/>
      <c r="FQ156"/>
      <c r="FR156"/>
      <c r="FS156"/>
      <c r="FT156"/>
      <c r="FU156"/>
      <c r="FV156"/>
      <c r="FW156"/>
      <c r="FX156"/>
      <c r="FY156" s="3"/>
      <c r="FZ156"/>
      <c r="GA156"/>
      <c r="GB156"/>
      <c r="GC156" s="3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 s="3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 s="3"/>
      <c r="IL156"/>
      <c r="IM156"/>
      <c r="IN156"/>
      <c r="IO156"/>
      <c r="IP156"/>
      <c r="IQ156"/>
      <c r="IR156" s="3"/>
      <c r="IS156"/>
      <c r="IT156" s="3"/>
      <c r="IU156" s="3"/>
      <c r="IV156" s="3"/>
      <c r="IW156"/>
      <c r="IX156"/>
      <c r="IY156" s="3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 s="3"/>
      <c r="KZ156"/>
      <c r="LA156"/>
      <c r="LB156"/>
      <c r="LC156"/>
      <c r="LD156"/>
      <c r="LE156"/>
      <c r="LF156"/>
      <c r="LG156"/>
      <c r="LH156" s="3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</row>
    <row r="157" spans="1:451" s="10" customFormat="1" x14ac:dyDescent="0.2">
      <c r="A157"/>
      <c r="B157" t="s">
        <v>13</v>
      </c>
      <c r="C157" t="s">
        <v>13</v>
      </c>
      <c r="D157" t="s">
        <v>13</v>
      </c>
      <c r="E157" t="s">
        <v>13</v>
      </c>
      <c r="F157" t="s">
        <v>13</v>
      </c>
      <c r="G157" t="s">
        <v>13</v>
      </c>
      <c r="H157" t="s">
        <v>13</v>
      </c>
      <c r="I157" t="s">
        <v>13</v>
      </c>
      <c r="J157" t="s">
        <v>13</v>
      </c>
      <c r="K157" t="s">
        <v>13</v>
      </c>
      <c r="L157" t="s">
        <v>13</v>
      </c>
      <c r="M157" t="s">
        <v>13</v>
      </c>
      <c r="N157" t="s">
        <v>13</v>
      </c>
      <c r="O157" t="s">
        <v>13</v>
      </c>
      <c r="P157" t="s">
        <v>13</v>
      </c>
      <c r="Q157" t="s">
        <v>13</v>
      </c>
      <c r="R157" t="s">
        <v>13</v>
      </c>
      <c r="S157" t="s">
        <v>13</v>
      </c>
      <c r="T157" t="s">
        <v>13</v>
      </c>
      <c r="U157" t="s">
        <v>13</v>
      </c>
      <c r="V157" t="s">
        <v>13</v>
      </c>
      <c r="W157" t="s">
        <v>13</v>
      </c>
      <c r="X157" t="s">
        <v>13</v>
      </c>
      <c r="Y157" t="s">
        <v>13</v>
      </c>
      <c r="Z157" t="s">
        <v>13</v>
      </c>
      <c r="AA157" t="s">
        <v>13</v>
      </c>
      <c r="AB157" t="s">
        <v>13</v>
      </c>
      <c r="AC157" t="s">
        <v>13</v>
      </c>
      <c r="AD157" t="s">
        <v>13</v>
      </c>
      <c r="AE157" t="s">
        <v>13</v>
      </c>
      <c r="AF157" t="s">
        <v>13</v>
      </c>
      <c r="AG157" t="s">
        <v>13</v>
      </c>
      <c r="AH157" t="s">
        <v>13</v>
      </c>
      <c r="AI157" t="s">
        <v>13</v>
      </c>
      <c r="AJ157" t="s">
        <v>13</v>
      </c>
      <c r="AK157" t="s">
        <v>13</v>
      </c>
      <c r="AL157" t="s">
        <v>13</v>
      </c>
      <c r="AM157" t="s">
        <v>13</v>
      </c>
      <c r="AN157" t="s">
        <v>13</v>
      </c>
      <c r="AO157" t="s">
        <v>13</v>
      </c>
      <c r="AP157" t="s">
        <v>13</v>
      </c>
      <c r="AQ157" t="s">
        <v>13</v>
      </c>
      <c r="AR157" t="s">
        <v>13</v>
      </c>
      <c r="AS157" t="s">
        <v>13</v>
      </c>
      <c r="AT157" t="s">
        <v>13</v>
      </c>
      <c r="AU157" t="s">
        <v>13</v>
      </c>
      <c r="AV157" t="s">
        <v>13</v>
      </c>
      <c r="AW157" t="s">
        <v>13</v>
      </c>
      <c r="AX157" t="s">
        <v>13</v>
      </c>
      <c r="AY157" t="s">
        <v>13</v>
      </c>
      <c r="AZ157" t="s">
        <v>13</v>
      </c>
      <c r="BA157" t="s">
        <v>13</v>
      </c>
      <c r="BB157" t="s">
        <v>13</v>
      </c>
      <c r="BC157" t="s">
        <v>13</v>
      </c>
      <c r="BD157" t="s">
        <v>13</v>
      </c>
      <c r="BE157" t="s">
        <v>13</v>
      </c>
      <c r="BF157" t="s">
        <v>13</v>
      </c>
      <c r="BG157" t="s">
        <v>13</v>
      </c>
      <c r="BH157" t="s">
        <v>13</v>
      </c>
      <c r="BI157" t="s">
        <v>13</v>
      </c>
      <c r="BJ157" s="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</row>
    <row r="158" spans="1:451" s="10" customFormat="1" x14ac:dyDescent="0.2">
      <c r="A158" t="s">
        <v>7</v>
      </c>
      <c r="B158" s="3">
        <v>1</v>
      </c>
      <c r="C158" s="3">
        <v>1</v>
      </c>
      <c r="D158" s="3">
        <v>1</v>
      </c>
      <c r="E158" s="3">
        <v>1</v>
      </c>
      <c r="F158" s="3">
        <v>1</v>
      </c>
      <c r="G158" s="3">
        <v>1</v>
      </c>
      <c r="H158" t="s">
        <v>12</v>
      </c>
      <c r="I158" s="3">
        <v>1</v>
      </c>
      <c r="J158" s="3">
        <v>1</v>
      </c>
      <c r="K158" s="3">
        <v>1</v>
      </c>
      <c r="L158" t="s">
        <v>12</v>
      </c>
      <c r="M158" s="3">
        <v>1</v>
      </c>
      <c r="N158" s="3">
        <v>1</v>
      </c>
      <c r="O158" s="3">
        <v>1</v>
      </c>
      <c r="P158" s="3">
        <v>1</v>
      </c>
      <c r="Q158" t="s">
        <v>12</v>
      </c>
      <c r="R158" s="3">
        <v>1</v>
      </c>
      <c r="S158" t="s">
        <v>12</v>
      </c>
      <c r="T158" s="3">
        <v>1</v>
      </c>
      <c r="U158" s="3">
        <v>1</v>
      </c>
      <c r="V158" s="3">
        <v>1</v>
      </c>
      <c r="W158" s="3">
        <v>1</v>
      </c>
      <c r="X158" s="3">
        <v>1</v>
      </c>
      <c r="Y158" s="3">
        <v>1</v>
      </c>
      <c r="Z158" s="3">
        <v>1</v>
      </c>
      <c r="AA158" s="3">
        <v>1</v>
      </c>
      <c r="AB158" s="3">
        <v>1</v>
      </c>
      <c r="AC158" s="3">
        <v>1</v>
      </c>
      <c r="AD158" t="s">
        <v>12</v>
      </c>
      <c r="AE158" s="3">
        <v>1</v>
      </c>
      <c r="AF158" s="3">
        <v>1</v>
      </c>
      <c r="AG158" s="3">
        <v>1</v>
      </c>
      <c r="AH158" s="3">
        <v>1</v>
      </c>
      <c r="AI158" s="3">
        <v>1</v>
      </c>
      <c r="AJ158" s="3">
        <v>1</v>
      </c>
      <c r="AK158" s="3">
        <v>1</v>
      </c>
      <c r="AL158" s="3">
        <v>1</v>
      </c>
      <c r="AM158" s="3">
        <v>1</v>
      </c>
      <c r="AN158" s="3">
        <v>1</v>
      </c>
      <c r="AO158" s="3">
        <v>1</v>
      </c>
      <c r="AP158" s="3">
        <v>1</v>
      </c>
      <c r="AQ158" s="3">
        <v>1</v>
      </c>
      <c r="AR158" s="3">
        <v>1</v>
      </c>
      <c r="AS158" s="3">
        <v>1</v>
      </c>
      <c r="AT158" s="3">
        <v>1</v>
      </c>
      <c r="AU158" t="s">
        <v>12</v>
      </c>
      <c r="AV158" s="3">
        <v>1</v>
      </c>
      <c r="AW158" s="3">
        <v>1</v>
      </c>
      <c r="AX158" s="3">
        <v>1</v>
      </c>
      <c r="AY158" s="3">
        <v>1</v>
      </c>
      <c r="AZ158" t="s">
        <v>12</v>
      </c>
      <c r="BA158" s="3">
        <v>1</v>
      </c>
      <c r="BB158" s="3">
        <v>1</v>
      </c>
      <c r="BC158" s="3">
        <v>1</v>
      </c>
      <c r="BD158" s="3">
        <v>1</v>
      </c>
      <c r="BE158" s="3">
        <v>1</v>
      </c>
      <c r="BF158" s="3">
        <v>1</v>
      </c>
      <c r="BG158" s="3">
        <v>1</v>
      </c>
      <c r="BH158" s="3">
        <v>1</v>
      </c>
      <c r="BI158" s="3">
        <v>1</v>
      </c>
      <c r="BJ158" s="7"/>
      <c r="BK158"/>
      <c r="BL158" s="3"/>
      <c r="BM158"/>
      <c r="BN158"/>
      <c r="BO158"/>
      <c r="BP158"/>
      <c r="BQ158"/>
      <c r="BR158"/>
      <c r="BS158"/>
      <c r="BT158" s="3"/>
      <c r="BU158"/>
      <c r="BV158"/>
      <c r="BW158"/>
      <c r="BX158"/>
      <c r="BY158"/>
      <c r="BZ158" s="3"/>
      <c r="CA158"/>
      <c r="CB158"/>
      <c r="CC158"/>
      <c r="CD158"/>
      <c r="CE158" s="3"/>
      <c r="CF158"/>
      <c r="CG158"/>
      <c r="CH158"/>
      <c r="CI158"/>
      <c r="CJ158" s="3"/>
      <c r="CK158"/>
      <c r="CL158" s="3"/>
      <c r="CM158" s="3"/>
      <c r="CN158"/>
      <c r="CO158"/>
      <c r="CP158"/>
      <c r="CQ158"/>
      <c r="CR158"/>
      <c r="CS158"/>
      <c r="CT158" s="3"/>
      <c r="CU158"/>
      <c r="CV158"/>
      <c r="CW158"/>
      <c r="CX158"/>
      <c r="CY158"/>
      <c r="CZ158"/>
      <c r="DA158"/>
      <c r="DB158"/>
      <c r="DC158"/>
      <c r="DD158"/>
      <c r="DE158"/>
      <c r="DF158"/>
      <c r="DG158" s="3"/>
      <c r="DH158" s="3"/>
      <c r="DI158"/>
      <c r="DJ158"/>
      <c r="DK158"/>
      <c r="DL158" s="3"/>
      <c r="DM158"/>
      <c r="DN158"/>
      <c r="DO158"/>
      <c r="DP158"/>
      <c r="DQ158"/>
      <c r="DR158"/>
      <c r="DS158"/>
      <c r="DT158" s="3"/>
      <c r="DU158" s="3"/>
      <c r="DV158" s="3"/>
      <c r="DW158" s="3"/>
      <c r="DX158" s="3"/>
      <c r="DY158" s="3"/>
      <c r="DZ158"/>
      <c r="EA158"/>
      <c r="EB158"/>
      <c r="EC158"/>
      <c r="ED158"/>
      <c r="EE158"/>
      <c r="EF158"/>
      <c r="EG158" s="3"/>
      <c r="EH158"/>
      <c r="EI158"/>
      <c r="EJ158" s="3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 s="3"/>
      <c r="FB158" s="3"/>
      <c r="FC158"/>
      <c r="FD158"/>
      <c r="FE158"/>
      <c r="FF158" s="3"/>
      <c r="FG158" s="3"/>
      <c r="FH158"/>
      <c r="FI158" s="3"/>
      <c r="FJ158" s="3"/>
      <c r="FK158" s="3"/>
      <c r="FL158" s="3"/>
      <c r="FM158" s="3"/>
      <c r="FN158" s="3"/>
      <c r="FO158"/>
      <c r="FP158"/>
      <c r="FQ158"/>
      <c r="FR158"/>
      <c r="FS158"/>
      <c r="FT158"/>
      <c r="FU158"/>
      <c r="FV158" s="3"/>
      <c r="FW158" s="3"/>
      <c r="FX158" s="3"/>
      <c r="FY158" s="3"/>
      <c r="FZ158"/>
      <c r="GA158" s="3"/>
      <c r="GB158"/>
      <c r="GC158" s="3"/>
      <c r="GD158"/>
      <c r="GE158"/>
      <c r="GF158"/>
      <c r="GG158"/>
      <c r="GH158"/>
      <c r="GI158" s="3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 s="3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 s="3"/>
      <c r="HQ158"/>
      <c r="HR158"/>
      <c r="HS158" s="3"/>
      <c r="HT158"/>
      <c r="HU158" s="3"/>
      <c r="HV158"/>
      <c r="HW158"/>
      <c r="HX158"/>
      <c r="HY158"/>
      <c r="HZ158"/>
      <c r="IA158"/>
      <c r="IB158" s="3"/>
      <c r="IC158" s="3"/>
      <c r="ID158" s="3"/>
      <c r="IE158"/>
      <c r="IF158" s="3"/>
      <c r="IG158"/>
      <c r="IH158"/>
      <c r="II158"/>
      <c r="IJ158" s="3"/>
      <c r="IK158" s="3"/>
      <c r="IL158" s="3"/>
      <c r="IM158" s="3"/>
      <c r="IN158"/>
      <c r="IO158" s="3"/>
      <c r="IP158" s="3"/>
      <c r="IQ158"/>
      <c r="IR158" s="3"/>
      <c r="IS158" s="3"/>
      <c r="IT158" s="3"/>
      <c r="IU158" s="3"/>
      <c r="IV158" s="3"/>
      <c r="IW158"/>
      <c r="IX158"/>
      <c r="IY158" s="3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 s="3"/>
      <c r="JX158"/>
      <c r="JY158"/>
      <c r="JZ158"/>
      <c r="KA158"/>
      <c r="KB158"/>
      <c r="KC158"/>
      <c r="KD158"/>
      <c r="KE158"/>
      <c r="KF158"/>
      <c r="KG158" s="3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 s="3"/>
      <c r="KV158"/>
      <c r="KW158"/>
      <c r="KX158"/>
      <c r="KY158" s="3"/>
      <c r="KZ158"/>
      <c r="LA158"/>
      <c r="LB158"/>
      <c r="LC158"/>
      <c r="LD158"/>
      <c r="LE158"/>
      <c r="LF158"/>
      <c r="LG158"/>
      <c r="LH158" s="3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 s="3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 s="3"/>
      <c r="NJ158"/>
      <c r="NK158" s="3"/>
      <c r="NL158" s="3"/>
      <c r="NM158"/>
      <c r="NN158"/>
      <c r="NO158"/>
      <c r="NP158" s="3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</row>
    <row r="159" spans="1:451" s="10" customFormat="1" x14ac:dyDescent="0.2">
      <c r="A159" t="s">
        <v>8</v>
      </c>
      <c r="B159">
        <v>4.7</v>
      </c>
      <c r="C159">
        <v>4.5999999999999996</v>
      </c>
      <c r="D159">
        <v>4.5999999999999996</v>
      </c>
      <c r="E159">
        <v>4.7</v>
      </c>
      <c r="F159">
        <v>4.7</v>
      </c>
      <c r="G159">
        <v>4.3</v>
      </c>
      <c r="H159">
        <v>0</v>
      </c>
      <c r="I159">
        <v>4.5</v>
      </c>
      <c r="J159">
        <v>4.7</v>
      </c>
      <c r="K159">
        <v>4.7</v>
      </c>
      <c r="L159">
        <v>0</v>
      </c>
      <c r="M159">
        <v>5</v>
      </c>
      <c r="N159">
        <v>4.5999999999999996</v>
      </c>
      <c r="O159">
        <v>4.7</v>
      </c>
      <c r="P159">
        <v>4.5</v>
      </c>
      <c r="Q159">
        <v>0</v>
      </c>
      <c r="R159">
        <v>1</v>
      </c>
      <c r="S159">
        <v>0</v>
      </c>
      <c r="T159">
        <v>3.9</v>
      </c>
      <c r="U159">
        <v>4.7</v>
      </c>
      <c r="V159">
        <v>4.7</v>
      </c>
      <c r="W159">
        <v>4.7</v>
      </c>
      <c r="X159">
        <v>4.9000000000000004</v>
      </c>
      <c r="Y159">
        <v>4.5999999999999996</v>
      </c>
      <c r="Z159">
        <v>4.5999999999999996</v>
      </c>
      <c r="AA159">
        <v>4.5999999999999996</v>
      </c>
      <c r="AB159">
        <v>4.5</v>
      </c>
      <c r="AC159">
        <v>4.9000000000000004</v>
      </c>
      <c r="AD159">
        <v>0</v>
      </c>
      <c r="AE159">
        <v>4.7</v>
      </c>
      <c r="AF159">
        <v>4.7</v>
      </c>
      <c r="AG159">
        <v>4.3</v>
      </c>
      <c r="AH159">
        <v>4.7</v>
      </c>
      <c r="AI159">
        <v>4.7</v>
      </c>
      <c r="AJ159">
        <v>4.7</v>
      </c>
      <c r="AK159">
        <v>4.7</v>
      </c>
      <c r="AL159">
        <v>4.5999999999999996</v>
      </c>
      <c r="AM159">
        <v>4.4000000000000004</v>
      </c>
      <c r="AN159">
        <v>4.5999999999999996</v>
      </c>
      <c r="AO159">
        <v>4.7</v>
      </c>
      <c r="AP159">
        <v>4.8</v>
      </c>
      <c r="AQ159">
        <v>4.5999999999999996</v>
      </c>
      <c r="AR159">
        <v>4.7</v>
      </c>
      <c r="AS159">
        <v>4.5999999999999996</v>
      </c>
      <c r="AT159">
        <v>4.7</v>
      </c>
      <c r="AU159">
        <v>0</v>
      </c>
      <c r="AV159">
        <v>4.5</v>
      </c>
      <c r="AW159">
        <v>4.8</v>
      </c>
      <c r="AX159">
        <v>4.5999999999999996</v>
      </c>
      <c r="AY159">
        <v>4.7</v>
      </c>
      <c r="AZ159">
        <v>0</v>
      </c>
      <c r="BA159">
        <v>4.4000000000000004</v>
      </c>
      <c r="BB159">
        <v>4.7</v>
      </c>
      <c r="BC159">
        <v>4.5999999999999996</v>
      </c>
      <c r="BD159">
        <v>4.5999999999999996</v>
      </c>
      <c r="BE159">
        <v>4.7</v>
      </c>
      <c r="BF159">
        <v>4.5999999999999996</v>
      </c>
      <c r="BG159">
        <v>4.7</v>
      </c>
      <c r="BH159">
        <v>4.7</v>
      </c>
      <c r="BI159">
        <v>4.7</v>
      </c>
      <c r="BJ159" s="7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</row>
    <row r="160" spans="1:451" s="10" customFormat="1" x14ac:dyDescent="0.2">
      <c r="A160" t="s">
        <v>9</v>
      </c>
      <c r="B160" s="3">
        <v>0.93200000000000005</v>
      </c>
      <c r="C160" s="3">
        <v>0.90900000000000003</v>
      </c>
      <c r="D160" s="3">
        <v>0.92100000000000004</v>
      </c>
      <c r="E160" s="3">
        <v>0.95099999999999996</v>
      </c>
      <c r="F160" s="3">
        <v>0.95399999999999996</v>
      </c>
      <c r="G160" s="3">
        <v>0.81899999999999995</v>
      </c>
      <c r="H160" t="s">
        <v>12</v>
      </c>
      <c r="I160" s="3">
        <v>0.9</v>
      </c>
      <c r="J160" s="3">
        <v>0.94399999999999995</v>
      </c>
      <c r="K160" s="3">
        <v>1</v>
      </c>
      <c r="L160" t="s">
        <v>12</v>
      </c>
      <c r="M160" s="3">
        <v>1</v>
      </c>
      <c r="N160" s="3">
        <v>0.8</v>
      </c>
      <c r="O160" s="3">
        <v>0.95199999999999996</v>
      </c>
      <c r="P160" s="3">
        <v>0.88200000000000001</v>
      </c>
      <c r="Q160" t="s">
        <v>12</v>
      </c>
      <c r="R160" t="s">
        <v>12</v>
      </c>
      <c r="S160" t="s">
        <v>12</v>
      </c>
      <c r="T160" s="3">
        <v>0.76900000000000002</v>
      </c>
      <c r="U160" s="3">
        <v>0.92400000000000004</v>
      </c>
      <c r="V160" s="3">
        <v>0.93899999999999995</v>
      </c>
      <c r="W160" s="3">
        <v>0.93899999999999995</v>
      </c>
      <c r="X160" s="3">
        <v>0.98199999999999998</v>
      </c>
      <c r="Y160" s="3">
        <v>0.91400000000000003</v>
      </c>
      <c r="Z160" s="3">
        <v>0.91500000000000004</v>
      </c>
      <c r="AA160" s="3">
        <v>0.93</v>
      </c>
      <c r="AB160" s="3">
        <v>0.81799999999999995</v>
      </c>
      <c r="AC160" s="3">
        <v>1</v>
      </c>
      <c r="AD160" t="s">
        <v>12</v>
      </c>
      <c r="AE160" s="3">
        <v>0.94199999999999995</v>
      </c>
      <c r="AF160" s="3">
        <v>0.93100000000000005</v>
      </c>
      <c r="AG160" s="3">
        <v>0.80600000000000005</v>
      </c>
      <c r="AH160" s="3">
        <v>0.92700000000000005</v>
      </c>
      <c r="AI160" s="3">
        <v>0.93600000000000005</v>
      </c>
      <c r="AJ160" s="3">
        <v>0.93300000000000005</v>
      </c>
      <c r="AK160" s="3">
        <v>0.94599999999999995</v>
      </c>
      <c r="AL160" s="3">
        <v>0.96699999999999997</v>
      </c>
      <c r="AM160" s="3">
        <v>0.89700000000000002</v>
      </c>
      <c r="AN160" s="3">
        <v>0.92900000000000005</v>
      </c>
      <c r="AO160" s="3">
        <v>0.93500000000000005</v>
      </c>
      <c r="AP160" s="3">
        <v>0.96299999999999997</v>
      </c>
      <c r="AQ160" s="3">
        <v>0.97299999999999998</v>
      </c>
      <c r="AR160" s="3">
        <v>0.93300000000000005</v>
      </c>
      <c r="AS160" s="3">
        <v>0.93100000000000005</v>
      </c>
      <c r="AT160" s="3">
        <v>0.91500000000000004</v>
      </c>
      <c r="AU160" t="s">
        <v>12</v>
      </c>
      <c r="AV160" s="3">
        <v>0.873</v>
      </c>
      <c r="AW160" s="3">
        <v>0.95</v>
      </c>
      <c r="AX160" s="3">
        <v>0.91800000000000004</v>
      </c>
      <c r="AY160" s="3">
        <v>0.95699999999999996</v>
      </c>
      <c r="AZ160" t="s">
        <v>12</v>
      </c>
      <c r="BA160" s="3">
        <v>0.81799999999999995</v>
      </c>
      <c r="BB160" s="3">
        <v>0.96</v>
      </c>
      <c r="BC160" s="3">
        <v>0.89200000000000002</v>
      </c>
      <c r="BD160" s="3">
        <v>0.91100000000000003</v>
      </c>
      <c r="BE160" s="3">
        <v>0.93899999999999995</v>
      </c>
      <c r="BF160" s="3">
        <v>0.92</v>
      </c>
      <c r="BG160" s="3">
        <v>0.94199999999999995</v>
      </c>
      <c r="BH160" s="3">
        <v>0.94499999999999995</v>
      </c>
      <c r="BI160" s="3">
        <v>0.94799999999999995</v>
      </c>
      <c r="BJ160" s="7"/>
      <c r="BK160"/>
      <c r="BL160" s="3"/>
      <c r="BM160"/>
      <c r="BN160"/>
      <c r="BO160"/>
      <c r="BP160"/>
      <c r="BQ160"/>
      <c r="BR160"/>
      <c r="BS160"/>
      <c r="BT160" s="3"/>
      <c r="BU160"/>
      <c r="BV160"/>
      <c r="BW160"/>
      <c r="BX160"/>
      <c r="BY160"/>
      <c r="BZ160" s="3"/>
      <c r="CA160"/>
      <c r="CB160"/>
      <c r="CC160"/>
      <c r="CD160"/>
      <c r="CE160" s="3"/>
      <c r="CF160"/>
      <c r="CG160"/>
      <c r="CH160"/>
      <c r="CI160"/>
      <c r="CJ160" s="3"/>
      <c r="CK160"/>
      <c r="CL160" s="3"/>
      <c r="CM160" s="3"/>
      <c r="CN160"/>
      <c r="CO160"/>
      <c r="CP160"/>
      <c r="CQ160"/>
      <c r="CR160"/>
      <c r="CS160"/>
      <c r="CT160" s="3"/>
      <c r="CU160"/>
      <c r="CV160"/>
      <c r="CW160"/>
      <c r="CX160"/>
      <c r="CY160"/>
      <c r="CZ160"/>
      <c r="DA160"/>
      <c r="DB160"/>
      <c r="DC160"/>
      <c r="DD160"/>
      <c r="DE160"/>
      <c r="DF160"/>
      <c r="DG160" s="3"/>
      <c r="DH160" s="3"/>
      <c r="DI160"/>
      <c r="DJ160"/>
      <c r="DK160"/>
      <c r="DL160" s="3"/>
      <c r="DM160"/>
      <c r="DN160"/>
      <c r="DO160"/>
      <c r="DP160"/>
      <c r="DQ160"/>
      <c r="DR160"/>
      <c r="DS160"/>
      <c r="DT160" s="3"/>
      <c r="DU160" s="3"/>
      <c r="DV160" s="3"/>
      <c r="DW160"/>
      <c r="DX160" s="3"/>
      <c r="DY160" s="3"/>
      <c r="DZ160"/>
      <c r="EA160"/>
      <c r="EB160"/>
      <c r="EC160"/>
      <c r="ED160"/>
      <c r="EE160"/>
      <c r="EF160"/>
      <c r="EG160" s="3"/>
      <c r="EH160"/>
      <c r="EI160"/>
      <c r="EJ160" s="3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 s="3"/>
      <c r="FB160"/>
      <c r="FC160"/>
      <c r="FD160"/>
      <c r="FE160"/>
      <c r="FF160" s="3"/>
      <c r="FG160" s="3"/>
      <c r="FH160"/>
      <c r="FI160" s="3"/>
      <c r="FJ160" s="3"/>
      <c r="FK160" s="3"/>
      <c r="FL160" s="3"/>
      <c r="FM160" s="3"/>
      <c r="FN160" s="3"/>
      <c r="FO160"/>
      <c r="FP160"/>
      <c r="FQ160"/>
      <c r="FR160"/>
      <c r="FS160"/>
      <c r="FT160"/>
      <c r="FU160"/>
      <c r="FV160" s="3"/>
      <c r="FW160" s="3"/>
      <c r="FX160" s="3"/>
      <c r="FY160" s="3"/>
      <c r="FZ160"/>
      <c r="GA160" s="3"/>
      <c r="GB160"/>
      <c r="GC160" s="3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 s="3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 s="3"/>
      <c r="HQ160"/>
      <c r="HR160"/>
      <c r="HS160" s="3"/>
      <c r="HT160"/>
      <c r="HU160" s="3"/>
      <c r="HV160"/>
      <c r="HW160"/>
      <c r="HX160"/>
      <c r="HY160"/>
      <c r="HZ160"/>
      <c r="IA160"/>
      <c r="IB160" s="3"/>
      <c r="IC160" s="3"/>
      <c r="ID160" s="3"/>
      <c r="IE160"/>
      <c r="IF160" s="3"/>
      <c r="IG160"/>
      <c r="IH160"/>
      <c r="II160"/>
      <c r="IJ160" s="3"/>
      <c r="IK160" s="3"/>
      <c r="IL160" s="3"/>
      <c r="IM160" s="3"/>
      <c r="IN160"/>
      <c r="IO160" s="3"/>
      <c r="IP160" s="3"/>
      <c r="IQ160"/>
      <c r="IR160" s="3"/>
      <c r="IS160" s="3"/>
      <c r="IT160"/>
      <c r="IU160" s="3"/>
      <c r="IV160" s="3"/>
      <c r="IW160"/>
      <c r="IX160"/>
      <c r="IY160" s="3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 s="3"/>
      <c r="JX160"/>
      <c r="JY160"/>
      <c r="JZ160"/>
      <c r="KA160"/>
      <c r="KB160"/>
      <c r="KC160"/>
      <c r="KD160"/>
      <c r="KE160"/>
      <c r="KF160"/>
      <c r="KG160" s="3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 s="3"/>
      <c r="KV160"/>
      <c r="KW160"/>
      <c r="KX160"/>
      <c r="KY160" s="3"/>
      <c r="KZ160"/>
      <c r="LA160"/>
      <c r="LB160"/>
      <c r="LC160"/>
      <c r="LD160"/>
      <c r="LE160"/>
      <c r="LF160"/>
      <c r="LG160"/>
      <c r="LH160" s="3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 s="3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 s="3"/>
      <c r="NJ160"/>
      <c r="NK160" s="3"/>
      <c r="NL160" s="3"/>
      <c r="NM160"/>
      <c r="NN160"/>
      <c r="NO160"/>
      <c r="NP160" s="3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</row>
    <row r="161" spans="1:17" s="4" customFormat="1" x14ac:dyDescent="0.2"/>
    <row r="162" spans="1:17" x14ac:dyDescent="0.2">
      <c r="B162" t="s">
        <v>7</v>
      </c>
      <c r="C162" t="s">
        <v>100</v>
      </c>
      <c r="D162" t="s">
        <v>101</v>
      </c>
      <c r="E162" t="s">
        <v>62</v>
      </c>
      <c r="F162" t="s">
        <v>63</v>
      </c>
      <c r="G162" t="s">
        <v>122</v>
      </c>
    </row>
    <row r="163" spans="1:17" x14ac:dyDescent="0.2">
      <c r="A163" s="1" t="s">
        <v>184</v>
      </c>
    </row>
    <row r="164" spans="1:17" x14ac:dyDescent="0.2">
      <c r="A164" s="2" t="s">
        <v>185</v>
      </c>
    </row>
    <row r="165" spans="1:17" x14ac:dyDescent="0.2">
      <c r="A165" t="s">
        <v>186</v>
      </c>
      <c r="B165">
        <v>3001</v>
      </c>
      <c r="C165">
        <v>515</v>
      </c>
      <c r="D165">
        <v>38</v>
      </c>
      <c r="E165">
        <v>1000</v>
      </c>
      <c r="F165">
        <v>1167</v>
      </c>
      <c r="G165">
        <v>281</v>
      </c>
    </row>
    <row r="166" spans="1:17" x14ac:dyDescent="0.2">
      <c r="A166" t="s">
        <v>2</v>
      </c>
      <c r="B166" s="3">
        <v>0.74399999999999999</v>
      </c>
      <c r="C166" s="3">
        <v>0.69299999999999995</v>
      </c>
      <c r="D166" s="3">
        <v>0.65800000000000003</v>
      </c>
      <c r="E166" s="3">
        <v>0.75</v>
      </c>
      <c r="F166" s="3">
        <v>0.78600000000000003</v>
      </c>
      <c r="G166" s="3">
        <v>0.65500000000000003</v>
      </c>
    </row>
    <row r="167" spans="1:17" x14ac:dyDescent="0.2">
      <c r="A167" t="s">
        <v>3</v>
      </c>
      <c r="B167" s="3">
        <v>0.152</v>
      </c>
      <c r="C167" s="3">
        <v>0.151</v>
      </c>
      <c r="D167" s="3">
        <v>0.21099999999999999</v>
      </c>
      <c r="E167" s="3">
        <v>0.156</v>
      </c>
      <c r="F167" s="3">
        <v>0.14199999999999999</v>
      </c>
      <c r="G167" s="3">
        <v>0.16700000000000001</v>
      </c>
    </row>
    <row r="168" spans="1:17" x14ac:dyDescent="0.2">
      <c r="A168" t="s">
        <v>4</v>
      </c>
      <c r="B168" s="3">
        <v>6.3E-2</v>
      </c>
      <c r="C168" s="3">
        <v>0.08</v>
      </c>
      <c r="D168" s="3">
        <v>7.9000000000000001E-2</v>
      </c>
      <c r="E168" s="3">
        <v>6.4000000000000001E-2</v>
      </c>
      <c r="F168" s="3">
        <v>4.8000000000000001E-2</v>
      </c>
      <c r="G168" s="3">
        <v>8.5000000000000006E-2</v>
      </c>
    </row>
    <row r="169" spans="1:17" x14ac:dyDescent="0.2">
      <c r="A169" t="s">
        <v>5</v>
      </c>
      <c r="B169" s="3">
        <v>1.6E-2</v>
      </c>
      <c r="C169" s="3">
        <v>3.5000000000000003E-2</v>
      </c>
      <c r="D169" t="s">
        <v>12</v>
      </c>
      <c r="E169" s="3">
        <v>1.4999999999999999E-2</v>
      </c>
      <c r="F169" s="3">
        <v>8.0000000000000002E-3</v>
      </c>
      <c r="G169" s="3">
        <v>2.1000000000000001E-2</v>
      </c>
    </row>
    <row r="170" spans="1:17" x14ac:dyDescent="0.2">
      <c r="A170" t="s">
        <v>6</v>
      </c>
      <c r="B170" s="3">
        <v>2.5999999999999999E-2</v>
      </c>
      <c r="C170" s="3">
        <v>4.1000000000000002E-2</v>
      </c>
      <c r="D170" s="3">
        <v>5.2999999999999999E-2</v>
      </c>
      <c r="E170" s="3">
        <v>1.4999999999999999E-2</v>
      </c>
      <c r="F170" s="3">
        <v>1.6E-2</v>
      </c>
      <c r="G170" s="3">
        <v>7.0999999999999994E-2</v>
      </c>
    </row>
    <row r="171" spans="1:17" x14ac:dyDescent="0.2">
      <c r="B171" t="s">
        <v>13</v>
      </c>
      <c r="C171" t="s">
        <v>13</v>
      </c>
      <c r="D171" t="s">
        <v>13</v>
      </c>
      <c r="E171" t="s">
        <v>13</v>
      </c>
      <c r="F171" t="s">
        <v>13</v>
      </c>
      <c r="G171" t="s">
        <v>13</v>
      </c>
    </row>
    <row r="172" spans="1:17" x14ac:dyDescent="0.2">
      <c r="A172" t="s">
        <v>7</v>
      </c>
      <c r="B172" s="3">
        <v>1</v>
      </c>
      <c r="C172" s="3">
        <v>1</v>
      </c>
      <c r="D172" s="3">
        <v>1</v>
      </c>
      <c r="E172" s="3">
        <v>1</v>
      </c>
      <c r="F172" s="3">
        <v>1</v>
      </c>
      <c r="G172" s="3">
        <v>1</v>
      </c>
    </row>
    <row r="173" spans="1:17" x14ac:dyDescent="0.2">
      <c r="A173" t="s">
        <v>8</v>
      </c>
      <c r="B173">
        <v>4.5999999999999996</v>
      </c>
      <c r="C173">
        <v>4.4000000000000004</v>
      </c>
      <c r="D173">
        <v>4.4000000000000004</v>
      </c>
      <c r="E173">
        <v>4.5999999999999996</v>
      </c>
      <c r="F173">
        <v>4.7</v>
      </c>
      <c r="G173">
        <v>4.3</v>
      </c>
    </row>
    <row r="174" spans="1:17" x14ac:dyDescent="0.2">
      <c r="A174" t="s">
        <v>9</v>
      </c>
      <c r="B174" s="3">
        <v>0.89600000000000002</v>
      </c>
      <c r="C174" s="3">
        <v>0.84499999999999997</v>
      </c>
      <c r="D174" s="3">
        <v>0.86799999999999999</v>
      </c>
      <c r="E174" s="3">
        <v>0.90600000000000003</v>
      </c>
      <c r="F174" s="3">
        <v>0.92800000000000005</v>
      </c>
      <c r="G174" s="3">
        <v>0.82199999999999995</v>
      </c>
    </row>
    <row r="175" spans="1:17" s="4" customFormat="1" x14ac:dyDescent="0.2">
      <c r="A175" s="11" t="s">
        <v>187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x14ac:dyDescent="0.2">
      <c r="B176" t="s">
        <v>7</v>
      </c>
      <c r="C176" t="s">
        <v>100</v>
      </c>
      <c r="D176" t="s">
        <v>101</v>
      </c>
      <c r="E176" t="s">
        <v>62</v>
      </c>
      <c r="F176" t="s">
        <v>63</v>
      </c>
      <c r="G176" t="s">
        <v>122</v>
      </c>
    </row>
    <row r="177" spans="1:17" x14ac:dyDescent="0.2">
      <c r="A177" s="1" t="s">
        <v>184</v>
      </c>
    </row>
    <row r="178" spans="1:17" x14ac:dyDescent="0.2">
      <c r="A178" s="2" t="s">
        <v>188</v>
      </c>
    </row>
    <row r="179" spans="1:17" x14ac:dyDescent="0.2">
      <c r="A179" t="s">
        <v>186</v>
      </c>
      <c r="B179">
        <v>3001</v>
      </c>
      <c r="C179">
        <v>515</v>
      </c>
      <c r="D179">
        <v>38</v>
      </c>
      <c r="E179">
        <v>1000</v>
      </c>
      <c r="F179">
        <v>1167</v>
      </c>
      <c r="G179">
        <v>281</v>
      </c>
    </row>
    <row r="180" spans="1:17" x14ac:dyDescent="0.2">
      <c r="A180" t="s">
        <v>2</v>
      </c>
      <c r="B180" s="3">
        <v>0.88200000000000001</v>
      </c>
      <c r="C180" s="3">
        <v>0.876</v>
      </c>
      <c r="D180" s="3">
        <v>0.76300000000000001</v>
      </c>
      <c r="E180" s="3">
        <v>0.90700000000000003</v>
      </c>
      <c r="F180" s="3">
        <v>0.88700000000000001</v>
      </c>
      <c r="G180" s="3">
        <v>0.80100000000000005</v>
      </c>
    </row>
    <row r="181" spans="1:17" x14ac:dyDescent="0.2">
      <c r="A181" t="s">
        <v>3</v>
      </c>
      <c r="B181" s="3">
        <v>8.5000000000000006E-2</v>
      </c>
      <c r="C181" s="3">
        <v>7.3999999999999996E-2</v>
      </c>
      <c r="D181" s="3">
        <v>0.184</v>
      </c>
      <c r="E181" s="3">
        <v>7.5999999999999998E-2</v>
      </c>
      <c r="F181" s="3">
        <v>8.5999999999999993E-2</v>
      </c>
      <c r="G181" s="3">
        <v>0.121</v>
      </c>
    </row>
    <row r="182" spans="1:17" x14ac:dyDescent="0.2">
      <c r="A182" t="s">
        <v>4</v>
      </c>
      <c r="B182" s="3">
        <v>2.1000000000000001E-2</v>
      </c>
      <c r="C182" s="3">
        <v>3.3000000000000002E-2</v>
      </c>
      <c r="D182" s="3">
        <v>2.5999999999999999E-2</v>
      </c>
      <c r="E182" s="3">
        <v>1.2E-2</v>
      </c>
      <c r="F182" s="3">
        <v>2.1000000000000001E-2</v>
      </c>
      <c r="G182" s="3">
        <v>3.5999999999999997E-2</v>
      </c>
    </row>
    <row r="183" spans="1:17" x14ac:dyDescent="0.2">
      <c r="A183" t="s">
        <v>5</v>
      </c>
      <c r="B183" s="3">
        <v>4.0000000000000001E-3</v>
      </c>
      <c r="C183" s="3">
        <v>8.0000000000000002E-3</v>
      </c>
      <c r="D183" s="3">
        <v>2.5999999999999999E-2</v>
      </c>
      <c r="E183" s="3">
        <v>1E-3</v>
      </c>
      <c r="F183" s="3">
        <v>3.0000000000000001E-3</v>
      </c>
      <c r="G183" s="3">
        <v>1.0999999999999999E-2</v>
      </c>
    </row>
    <row r="184" spans="1:17" x14ac:dyDescent="0.2">
      <c r="A184" t="s">
        <v>6</v>
      </c>
      <c r="B184" s="3">
        <v>8.0000000000000002E-3</v>
      </c>
      <c r="C184" s="3">
        <v>0.01</v>
      </c>
      <c r="D184" t="s">
        <v>12</v>
      </c>
      <c r="E184" s="3">
        <v>4.0000000000000001E-3</v>
      </c>
      <c r="F184" s="3">
        <v>4.0000000000000001E-3</v>
      </c>
      <c r="G184" s="3">
        <v>3.2000000000000001E-2</v>
      </c>
    </row>
    <row r="185" spans="1:17" x14ac:dyDescent="0.2">
      <c r="B185" t="s">
        <v>13</v>
      </c>
      <c r="C185" t="s">
        <v>13</v>
      </c>
      <c r="D185" t="s">
        <v>13</v>
      </c>
      <c r="E185" t="s">
        <v>13</v>
      </c>
      <c r="F185" t="s">
        <v>13</v>
      </c>
      <c r="G185" t="s">
        <v>13</v>
      </c>
    </row>
    <row r="186" spans="1:17" x14ac:dyDescent="0.2">
      <c r="A186" t="s">
        <v>7</v>
      </c>
      <c r="B186" s="3">
        <v>1</v>
      </c>
      <c r="C186" s="3">
        <v>1</v>
      </c>
      <c r="D186" s="3">
        <v>1</v>
      </c>
      <c r="E186" s="3">
        <v>1</v>
      </c>
      <c r="F186" s="3">
        <v>1</v>
      </c>
      <c r="G186" s="3">
        <v>1</v>
      </c>
    </row>
    <row r="187" spans="1:17" x14ac:dyDescent="0.2">
      <c r="A187" t="s">
        <v>8</v>
      </c>
      <c r="B187">
        <v>4.8</v>
      </c>
      <c r="C187">
        <v>4.8</v>
      </c>
      <c r="D187">
        <v>4.7</v>
      </c>
      <c r="E187">
        <v>4.9000000000000004</v>
      </c>
      <c r="F187">
        <v>4.8</v>
      </c>
      <c r="G187">
        <v>4.5999999999999996</v>
      </c>
    </row>
    <row r="188" spans="1:17" x14ac:dyDescent="0.2">
      <c r="A188" t="s">
        <v>9</v>
      </c>
      <c r="B188" s="3">
        <v>0.96699999999999997</v>
      </c>
      <c r="C188" s="3">
        <v>0.95</v>
      </c>
      <c r="D188" s="3">
        <v>0.94699999999999995</v>
      </c>
      <c r="E188" s="3">
        <v>0.98299999999999998</v>
      </c>
      <c r="F188" s="3">
        <v>0.97299999999999998</v>
      </c>
      <c r="G188" s="3">
        <v>0.92200000000000004</v>
      </c>
    </row>
    <row r="189" spans="1:17" s="4" customFormat="1" x14ac:dyDescent="0.2">
      <c r="A189" s="11" t="s">
        <v>187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06D0-E22C-4477-B9CF-98FD565DD2BB}">
  <dimension ref="A1:AG76"/>
  <sheetViews>
    <sheetView tabSelected="1" topLeftCell="M23" zoomScaleNormal="100" workbookViewId="0">
      <selection activeCell="AH18" sqref="AH18"/>
    </sheetView>
  </sheetViews>
  <sheetFormatPr baseColWidth="10" defaultColWidth="8.6640625" defaultRowHeight="15.75" customHeight="1" x14ac:dyDescent="0.2"/>
  <cols>
    <col min="1" max="1" width="54.5" style="20" customWidth="1"/>
    <col min="2" max="2" width="9.1640625" style="20" customWidth="1"/>
    <col min="3" max="8" width="9.1640625" style="56" customWidth="1"/>
    <col min="9" max="9" width="7.6640625" style="20" customWidth="1"/>
    <col min="10" max="10" width="54.5" style="20" customWidth="1"/>
    <col min="11" max="17" width="9.1640625" style="20" customWidth="1"/>
    <col min="18" max="18" width="7.6640625" style="20" customWidth="1"/>
    <col min="19" max="19" width="9.1640625" style="20" customWidth="1"/>
    <col min="20" max="20" width="23.33203125" style="67" customWidth="1"/>
    <col min="21" max="25" width="9.1640625" style="20" customWidth="1"/>
    <col min="26" max="26" width="6.33203125" style="20" customWidth="1"/>
    <col min="27" max="27" width="27.33203125" style="20" customWidth="1"/>
    <col min="28" max="31" width="9.33203125" style="20" customWidth="1"/>
    <col min="32" max="32" width="38.5" style="20" customWidth="1"/>
    <col min="33" max="33" width="9.33203125" style="20" customWidth="1"/>
    <col min="34" max="34" width="9.5" style="20" customWidth="1"/>
    <col min="35" max="16384" width="8.6640625" style="20"/>
  </cols>
  <sheetData>
    <row r="1" spans="1:33" ht="15.75" customHeight="1" thickBot="1" x14ac:dyDescent="0.25">
      <c r="A1" s="161" t="s">
        <v>189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3"/>
      <c r="R1" s="12"/>
      <c r="S1" s="13" t="s">
        <v>190</v>
      </c>
      <c r="T1" s="14" t="s">
        <v>191</v>
      </c>
      <c r="U1" s="15" t="s">
        <v>192</v>
      </c>
      <c r="V1" s="16" t="s">
        <v>193</v>
      </c>
      <c r="W1" s="17" t="s">
        <v>137</v>
      </c>
      <c r="X1" s="18" t="s">
        <v>194</v>
      </c>
      <c r="Y1" s="18" t="s">
        <v>195</v>
      </c>
      <c r="Z1" s="19"/>
      <c r="AA1" s="164" t="s">
        <v>196</v>
      </c>
      <c r="AB1" s="165"/>
      <c r="AC1" s="165"/>
      <c r="AD1" s="165"/>
      <c r="AE1" s="165"/>
      <c r="AF1" s="166"/>
      <c r="AG1" s="167"/>
    </row>
    <row r="2" spans="1:33" ht="15.75" customHeight="1" thickBot="1" x14ac:dyDescent="0.25">
      <c r="A2" s="21" t="s">
        <v>197</v>
      </c>
      <c r="B2" s="22" t="s">
        <v>198</v>
      </c>
      <c r="C2" s="22">
        <v>5</v>
      </c>
      <c r="D2" s="22">
        <v>4</v>
      </c>
      <c r="E2" s="22">
        <v>3</v>
      </c>
      <c r="F2" s="22">
        <v>2</v>
      </c>
      <c r="G2" s="22">
        <v>1</v>
      </c>
      <c r="H2" s="23" t="s">
        <v>199</v>
      </c>
      <c r="I2" s="24"/>
      <c r="J2" s="25" t="s">
        <v>200</v>
      </c>
      <c r="K2" s="26" t="s">
        <v>198</v>
      </c>
      <c r="L2" s="26">
        <v>5</v>
      </c>
      <c r="M2" s="26">
        <v>4</v>
      </c>
      <c r="N2" s="26">
        <v>3</v>
      </c>
      <c r="O2" s="26">
        <v>2</v>
      </c>
      <c r="P2" s="26">
        <v>1</v>
      </c>
      <c r="Q2" s="27" t="s">
        <v>199</v>
      </c>
      <c r="R2" s="28"/>
      <c r="S2" s="29">
        <v>4</v>
      </c>
      <c r="T2" s="30" t="s">
        <v>201</v>
      </c>
      <c r="U2" s="31">
        <f>$Q$21</f>
        <v>0.93604444444444435</v>
      </c>
      <c r="V2" s="32">
        <f>$K$20</f>
        <v>1167</v>
      </c>
      <c r="W2" s="33">
        <f>Original!V145</f>
        <v>0.76999999999999991</v>
      </c>
      <c r="X2" s="31">
        <f>Original!$F$188</f>
        <v>0.97299999999999998</v>
      </c>
      <c r="Y2" s="31">
        <f>Original!$F$174</f>
        <v>0.92800000000000005</v>
      </c>
      <c r="Z2" s="34"/>
      <c r="AA2" s="35"/>
      <c r="AB2" s="36" t="s">
        <v>202</v>
      </c>
      <c r="AC2" s="37" t="s">
        <v>203</v>
      </c>
      <c r="AD2" s="38" t="s">
        <v>204</v>
      </c>
      <c r="AF2" s="39" t="s">
        <v>205</v>
      </c>
      <c r="AG2" s="40"/>
    </row>
    <row r="3" spans="1:33" ht="15.75" customHeight="1" thickBot="1" x14ac:dyDescent="0.25">
      <c r="A3" s="41" t="s">
        <v>206</v>
      </c>
      <c r="B3" s="42" t="str">
        <f>Original!F1</f>
        <v>Base: Who used Website</v>
      </c>
      <c r="C3" s="42" t="str">
        <f>Original!G1</f>
        <v>Strongly Agree</v>
      </c>
      <c r="D3" s="42" t="str">
        <f>Original!H1</f>
        <v>Agree</v>
      </c>
      <c r="E3" s="42" t="str">
        <f>Original!I1</f>
        <v>Neutral</v>
      </c>
      <c r="F3" s="42" t="str">
        <f>Original!J1</f>
        <v>Disagree</v>
      </c>
      <c r="G3" s="42" t="str">
        <f>Original!K1</f>
        <v>Strongly Disagree</v>
      </c>
      <c r="H3" s="43">
        <f>AVERAGE(H4:H6)</f>
        <v>0.90133333333333343</v>
      </c>
      <c r="J3" s="41" t="s">
        <v>206</v>
      </c>
      <c r="K3" s="42" t="str">
        <f>Original!F9</f>
        <v>Base: Who used Mobile channel</v>
      </c>
      <c r="L3" s="42" t="str">
        <f>Original!G9</f>
        <v>Strongly Agree</v>
      </c>
      <c r="M3" s="42" t="str">
        <f>Original!H9</f>
        <v>Agree</v>
      </c>
      <c r="N3" s="42" t="str">
        <f>Original!I9</f>
        <v>Neutral</v>
      </c>
      <c r="O3" s="42" t="str">
        <f>Original!J9</f>
        <v>Disagree</v>
      </c>
      <c r="P3" s="42" t="str">
        <f>Original!K9</f>
        <v>Strongly Disagree</v>
      </c>
      <c r="Q3" s="43">
        <f>AVERAGE(Q4:Q6)</f>
        <v>0.89666666666666661</v>
      </c>
      <c r="R3" s="44"/>
      <c r="S3" s="29">
        <v>3</v>
      </c>
      <c r="T3" s="45" t="s">
        <v>62</v>
      </c>
      <c r="U3" s="31">
        <f>$H$21</f>
        <v>0.93458888888888891</v>
      </c>
      <c r="V3" s="32">
        <f>$B$20</f>
        <v>1000</v>
      </c>
      <c r="W3" s="33">
        <f>Original!V144</f>
        <v>0.754</v>
      </c>
      <c r="X3" s="31">
        <f>Original!$E$188</f>
        <v>0.98299999999999998</v>
      </c>
      <c r="Y3" s="31">
        <f>Original!$E$174</f>
        <v>0.90600000000000003</v>
      </c>
      <c r="Z3" s="34"/>
      <c r="AA3" s="41" t="s">
        <v>207</v>
      </c>
      <c r="AB3" s="43">
        <f>AVERAGE(AG3,AD3,AC3)</f>
        <v>0.93269999999999997</v>
      </c>
      <c r="AC3" s="43">
        <f>AVERAGE(AC4:AC5)</f>
        <v>0.92500000000000004</v>
      </c>
      <c r="AD3" s="43">
        <f>AVERAGE(AD4:AD5)</f>
        <v>0.93149999999999999</v>
      </c>
      <c r="AF3" s="46" t="s">
        <v>207</v>
      </c>
      <c r="AG3" s="43">
        <f>AVERAGE(AG4:AG8)</f>
        <v>0.94159999999999999</v>
      </c>
    </row>
    <row r="4" spans="1:33" ht="15.75" customHeight="1" x14ac:dyDescent="0.2">
      <c r="A4" s="47" t="s">
        <v>208</v>
      </c>
      <c r="B4" s="48">
        <f>Original!F5</f>
        <v>1000</v>
      </c>
      <c r="C4" s="49">
        <f>Original!G5</f>
        <v>0.66400000000000003</v>
      </c>
      <c r="D4" s="49">
        <f>Original!H5</f>
        <v>0.21</v>
      </c>
      <c r="E4" s="49">
        <f>Original!I5</f>
        <v>9.4E-2</v>
      </c>
      <c r="F4" s="49">
        <f>Original!J5</f>
        <v>0.02</v>
      </c>
      <c r="G4" s="49">
        <f>Original!K5</f>
        <v>1.2E-2</v>
      </c>
      <c r="H4" s="50">
        <f>Original!O5</f>
        <v>0.874</v>
      </c>
      <c r="J4" s="47" t="s">
        <v>208</v>
      </c>
      <c r="K4" s="48">
        <f>Original!F13</f>
        <v>1167</v>
      </c>
      <c r="L4" s="49">
        <f>Original!G13</f>
        <v>0.67</v>
      </c>
      <c r="M4" s="49">
        <f>Original!H13</f>
        <v>0.184</v>
      </c>
      <c r="N4" s="49">
        <f>Original!I13</f>
        <v>0.10199999999999999</v>
      </c>
      <c r="O4" s="49">
        <f>Original!J13</f>
        <v>2.4E-2</v>
      </c>
      <c r="P4" s="49">
        <f>Original!K13</f>
        <v>0.02</v>
      </c>
      <c r="Q4" s="50">
        <f>Original!O13</f>
        <v>0.85399999999999998</v>
      </c>
      <c r="R4" s="44"/>
      <c r="S4" s="29">
        <v>2</v>
      </c>
      <c r="T4" s="51" t="s">
        <v>209</v>
      </c>
      <c r="U4" s="31">
        <f>$H$46</f>
        <v>0.92500000000000004</v>
      </c>
      <c r="V4" s="32">
        <f>$B$39</f>
        <v>38</v>
      </c>
      <c r="W4" s="33">
        <f>Original!V143</f>
        <v>0.71000000000000008</v>
      </c>
      <c r="X4" s="31">
        <f>Original!$D$188</f>
        <v>0.94699999999999995</v>
      </c>
      <c r="Y4" s="31">
        <f>Original!$C$174</f>
        <v>0.84499999999999997</v>
      </c>
      <c r="Z4" s="34"/>
      <c r="AA4" s="52" t="s">
        <v>210</v>
      </c>
      <c r="AB4" s="50"/>
      <c r="AC4" s="50">
        <f>H6</f>
        <v>0.91</v>
      </c>
      <c r="AD4" s="50">
        <f>Q6</f>
        <v>0.92</v>
      </c>
      <c r="AF4" s="52" t="s">
        <v>211</v>
      </c>
      <c r="AG4" s="50">
        <f>H41</f>
        <v>0.94599999999999995</v>
      </c>
    </row>
    <row r="5" spans="1:33" ht="15.75" customHeight="1" thickBot="1" x14ac:dyDescent="0.25">
      <c r="A5" s="47" t="s">
        <v>212</v>
      </c>
      <c r="B5" s="48">
        <f>Original!F6</f>
        <v>1000</v>
      </c>
      <c r="C5" s="49">
        <f>Original!G6</f>
        <v>0.75600000000000001</v>
      </c>
      <c r="D5" s="49">
        <f>Original!H6</f>
        <v>0.16400000000000001</v>
      </c>
      <c r="E5" s="49">
        <f>Original!I6</f>
        <v>5.8999999999999997E-2</v>
      </c>
      <c r="F5" s="49">
        <f>Original!J6</f>
        <v>0.01</v>
      </c>
      <c r="G5" s="49">
        <f>Original!K6</f>
        <v>1.0999999999999999E-2</v>
      </c>
      <c r="H5" s="50">
        <f>Original!O6</f>
        <v>0.92</v>
      </c>
      <c r="J5" s="47" t="s">
        <v>212</v>
      </c>
      <c r="K5" s="48">
        <f>Original!F14</f>
        <v>1167</v>
      </c>
      <c r="L5" s="49">
        <f>Original!G14</f>
        <v>0.78200000000000003</v>
      </c>
      <c r="M5" s="49">
        <f>Original!H14</f>
        <v>0.13400000000000001</v>
      </c>
      <c r="N5" s="49">
        <f>Original!I14</f>
        <v>0.06</v>
      </c>
      <c r="O5" s="49">
        <f>Original!J14</f>
        <v>0.01</v>
      </c>
      <c r="P5" s="49">
        <f>Original!K14</f>
        <v>1.4E-2</v>
      </c>
      <c r="Q5" s="50">
        <f>Original!O14</f>
        <v>0.91600000000000004</v>
      </c>
      <c r="R5" s="44"/>
      <c r="S5" s="29">
        <v>1</v>
      </c>
      <c r="T5" s="53" t="s">
        <v>100</v>
      </c>
      <c r="U5" s="31">
        <f>$Q$40</f>
        <v>0.91707777777777777</v>
      </c>
      <c r="V5" s="32">
        <f>$K$39</f>
        <v>515</v>
      </c>
      <c r="W5" s="33">
        <f>Original!V142</f>
        <v>0.69400000000000006</v>
      </c>
      <c r="X5" s="31">
        <f>Original!$C$188</f>
        <v>0.95</v>
      </c>
      <c r="Y5" s="31">
        <f>Original!$D$174</f>
        <v>0.86799999999999999</v>
      </c>
      <c r="Z5" s="34"/>
      <c r="AA5" s="54" t="s">
        <v>297</v>
      </c>
      <c r="AB5" s="55"/>
      <c r="AC5" s="55">
        <f>H8</f>
        <v>0.94</v>
      </c>
      <c r="AD5" s="55">
        <f>Q8</f>
        <v>0.94299999999999995</v>
      </c>
      <c r="AF5" s="52" t="s">
        <v>214</v>
      </c>
      <c r="AG5" s="50">
        <f>H42</f>
        <v>0.879</v>
      </c>
    </row>
    <row r="6" spans="1:33" ht="15.75" customHeight="1" thickBot="1" x14ac:dyDescent="0.25">
      <c r="A6" s="47" t="s">
        <v>210</v>
      </c>
      <c r="B6" s="48">
        <f>Original!F7</f>
        <v>1000</v>
      </c>
      <c r="C6" s="49">
        <f>Original!G7</f>
        <v>0.75</v>
      </c>
      <c r="D6" s="49">
        <f>Original!H7</f>
        <v>0.16</v>
      </c>
      <c r="E6" s="49">
        <f>Original!I7</f>
        <v>6.6000000000000003E-2</v>
      </c>
      <c r="F6" s="49">
        <f>Original!J7</f>
        <v>1.0999999999999999E-2</v>
      </c>
      <c r="G6" s="49">
        <f>Original!K7</f>
        <v>1.2999999999999999E-2</v>
      </c>
      <c r="H6" s="50">
        <f>Original!O7</f>
        <v>0.91</v>
      </c>
      <c r="I6" s="56"/>
      <c r="J6" s="47" t="s">
        <v>210</v>
      </c>
      <c r="K6" s="48">
        <f>Original!F15</f>
        <v>1167</v>
      </c>
      <c r="L6" s="49">
        <f>Original!G15</f>
        <v>0.78600000000000003</v>
      </c>
      <c r="M6" s="49">
        <f>Original!H15</f>
        <v>0.13500000000000001</v>
      </c>
      <c r="N6" s="49">
        <f>Original!I15</f>
        <v>5.7000000000000002E-2</v>
      </c>
      <c r="O6" s="49">
        <f>Original!J15</f>
        <v>1.2E-2</v>
      </c>
      <c r="P6" s="49">
        <f>Original!K15</f>
        <v>0.01</v>
      </c>
      <c r="Q6" s="50">
        <f>Original!O15</f>
        <v>0.92</v>
      </c>
      <c r="R6" s="44"/>
      <c r="S6" s="57">
        <v>5</v>
      </c>
      <c r="T6" s="58" t="s">
        <v>122</v>
      </c>
      <c r="U6" s="59">
        <f>$H$57</f>
        <v>0.87062499999999998</v>
      </c>
      <c r="V6" s="60">
        <f>$B$56</f>
        <v>281</v>
      </c>
      <c r="W6" s="61">
        <f>Original!V146</f>
        <v>0.57699999999999996</v>
      </c>
      <c r="X6" s="59">
        <f>Original!$G$188</f>
        <v>0.92200000000000004</v>
      </c>
      <c r="Y6" s="59">
        <f>Original!$G$174</f>
        <v>0.82199999999999995</v>
      </c>
      <c r="Z6" s="34"/>
      <c r="AA6" s="62"/>
      <c r="AF6" s="52" t="s">
        <v>215</v>
      </c>
      <c r="AG6" s="50">
        <f>H43</f>
        <v>0.97199999999999998</v>
      </c>
    </row>
    <row r="7" spans="1:33" ht="15.75" customHeight="1" thickBot="1" x14ac:dyDescent="0.25">
      <c r="A7" s="41" t="s">
        <v>216</v>
      </c>
      <c r="B7" s="42" t="str">
        <f>Original!F17</f>
        <v>Base: Who used Website</v>
      </c>
      <c r="C7" s="42" t="str">
        <f>Original!G17</f>
        <v>Strongly Agree</v>
      </c>
      <c r="D7" s="42" t="str">
        <f>Original!H17</f>
        <v>Agree</v>
      </c>
      <c r="E7" s="42" t="str">
        <f>Original!I17</f>
        <v>Neutral</v>
      </c>
      <c r="F7" s="42" t="str">
        <f>Original!J17</f>
        <v>Disagree</v>
      </c>
      <c r="G7" s="42" t="str">
        <f>Original!K17</f>
        <v>Strongly Disagree</v>
      </c>
      <c r="H7" s="43">
        <f>AVERAGE(H8:H8)</f>
        <v>0.94</v>
      </c>
      <c r="I7" s="56"/>
      <c r="J7" s="41" t="s">
        <v>216</v>
      </c>
      <c r="K7" s="42" t="str">
        <f>Original!F22</f>
        <v>Base: Who used Mobile App</v>
      </c>
      <c r="L7" s="42" t="str">
        <f>Original!G22</f>
        <v>Strongly Agree</v>
      </c>
      <c r="M7" s="42" t="str">
        <f>Original!H22</f>
        <v>Agree</v>
      </c>
      <c r="N7" s="42" t="str">
        <f>Original!I22</f>
        <v>Neutral</v>
      </c>
      <c r="O7" s="42" t="str">
        <f>Original!J22</f>
        <v>Disagree</v>
      </c>
      <c r="P7" s="42" t="str">
        <f>Original!K22</f>
        <v>Strongly Disagree</v>
      </c>
      <c r="Q7" s="43">
        <f>AVERAGE(Q8:Q8)</f>
        <v>0.94299999999999995</v>
      </c>
      <c r="R7" s="44"/>
      <c r="T7" s="20"/>
      <c r="V7" s="63"/>
      <c r="Z7" s="19"/>
      <c r="AA7" s="62"/>
      <c r="AF7" s="52" t="s">
        <v>217</v>
      </c>
      <c r="AG7" s="50">
        <f>H44</f>
        <v>0.93899999999999995</v>
      </c>
    </row>
    <row r="8" spans="1:33" ht="15.75" customHeight="1" thickBot="1" x14ac:dyDescent="0.25">
      <c r="A8" s="47" t="s">
        <v>213</v>
      </c>
      <c r="B8" s="48">
        <f>Original!F20</f>
        <v>1000</v>
      </c>
      <c r="C8" s="49">
        <f>Original!G20</f>
        <v>0.82399999999999995</v>
      </c>
      <c r="D8" s="49">
        <f>Original!H20</f>
        <v>0.11600000000000001</v>
      </c>
      <c r="E8" s="49">
        <f>Original!I20</f>
        <v>0.04</v>
      </c>
      <c r="F8" s="49">
        <f>Original!J20</f>
        <v>1.2999999999999999E-2</v>
      </c>
      <c r="G8" s="49">
        <f>Original!K20</f>
        <v>7.0000000000000001E-3</v>
      </c>
      <c r="H8" s="50">
        <f>Original!O20</f>
        <v>0.94</v>
      </c>
      <c r="I8" s="56"/>
      <c r="J8" s="47" t="s">
        <v>213</v>
      </c>
      <c r="K8" s="48">
        <f>Original!F25</f>
        <v>1167</v>
      </c>
      <c r="L8" s="49">
        <f>Original!G25</f>
        <v>0.85099999999999998</v>
      </c>
      <c r="M8" s="49">
        <f>Original!H25</f>
        <v>9.2999999999999999E-2</v>
      </c>
      <c r="N8" s="49">
        <f>Original!I25</f>
        <v>3.3000000000000002E-2</v>
      </c>
      <c r="O8" s="49">
        <f>Original!J25</f>
        <v>1.0999999999999999E-2</v>
      </c>
      <c r="P8" s="49">
        <f>Original!K25</f>
        <v>1.2999999999999999E-2</v>
      </c>
      <c r="Q8" s="50">
        <f>Original!O25</f>
        <v>0.94299999999999995</v>
      </c>
      <c r="R8" s="44"/>
      <c r="T8" s="64" t="s">
        <v>218</v>
      </c>
      <c r="U8" s="59">
        <f>AVERAGE(U2:U6)</f>
        <v>0.91666722222222208</v>
      </c>
      <c r="V8" s="60">
        <f>SUM(V2:V6)</f>
        <v>3001</v>
      </c>
      <c r="W8" s="61">
        <f>Original!V141</f>
        <v>0.73199999999999998</v>
      </c>
      <c r="X8" s="59">
        <f>Original!B188</f>
        <v>0.96699999999999997</v>
      </c>
      <c r="Y8" s="59">
        <f>Original!B174</f>
        <v>0.89600000000000002</v>
      </c>
      <c r="Z8" s="19"/>
      <c r="AA8" s="65"/>
      <c r="AD8" s="66"/>
      <c r="AF8" s="54" t="s">
        <v>219</v>
      </c>
      <c r="AG8" s="55">
        <f>H45</f>
        <v>0.97199999999999998</v>
      </c>
    </row>
    <row r="9" spans="1:33" ht="15.75" customHeight="1" thickBot="1" x14ac:dyDescent="0.25">
      <c r="A9" s="41" t="s">
        <v>220</v>
      </c>
      <c r="B9" s="42" t="str">
        <f>Original!F27</f>
        <v>Base: Who used Website [Excluded NA]</v>
      </c>
      <c r="C9" s="42" t="str">
        <f>Original!G27</f>
        <v>Strongly Agree</v>
      </c>
      <c r="D9" s="42" t="str">
        <f>Original!H27</f>
        <v>Agree</v>
      </c>
      <c r="E9" s="42" t="str">
        <f>Original!I27</f>
        <v>Neutral</v>
      </c>
      <c r="F9" s="42" t="str">
        <f>Original!J27</f>
        <v>Disagree</v>
      </c>
      <c r="G9" s="42" t="str">
        <f>Original!K27</f>
        <v>Strongly Disagree</v>
      </c>
      <c r="H9" s="43">
        <f>AVERAGE(H10:H14)</f>
        <v>0.90720000000000012</v>
      </c>
      <c r="I9" s="56"/>
      <c r="J9" s="41" t="s">
        <v>220</v>
      </c>
      <c r="K9" s="42" t="str">
        <f>Original!F35</f>
        <v>Base: Who used Mobile App [Excluded NA]</v>
      </c>
      <c r="L9" s="42" t="str">
        <f>Original!G35</f>
        <v>Strongly Agree</v>
      </c>
      <c r="M9" s="42" t="str">
        <f>Original!H35</f>
        <v>Agree</v>
      </c>
      <c r="N9" s="42" t="str">
        <f>Original!I35</f>
        <v>Neutral</v>
      </c>
      <c r="O9" s="42" t="str">
        <f>Original!J35</f>
        <v>Disagree</v>
      </c>
      <c r="P9" s="42" t="str">
        <f>Original!K35</f>
        <v>Strongly Disagree</v>
      </c>
      <c r="Q9" s="43">
        <f>AVERAGE(Q10:Q14)</f>
        <v>0.92059999999999997</v>
      </c>
      <c r="R9" s="44"/>
      <c r="Z9" s="19"/>
      <c r="AA9" s="65"/>
      <c r="AD9" s="66"/>
      <c r="AF9"/>
      <c r="AG9" s="68"/>
    </row>
    <row r="10" spans="1:33" ht="15.75" customHeight="1" thickBot="1" x14ac:dyDescent="0.25">
      <c r="A10" s="47" t="s">
        <v>221</v>
      </c>
      <c r="B10" s="48">
        <f>Original!F28</f>
        <v>955</v>
      </c>
      <c r="C10" s="49">
        <f>Original!G28</f>
        <v>0.84</v>
      </c>
      <c r="D10" s="49">
        <f>Original!H28</f>
        <v>9.1999999999999998E-2</v>
      </c>
      <c r="E10" s="49">
        <f>Original!I28</f>
        <v>4.3999999999999997E-2</v>
      </c>
      <c r="F10" s="49">
        <f>Original!J28</f>
        <v>1.4E-2</v>
      </c>
      <c r="G10" s="49">
        <f>Original!K28</f>
        <v>0.01</v>
      </c>
      <c r="H10" s="50">
        <f>Original!O28</f>
        <v>0.93200000000000005</v>
      </c>
      <c r="I10" s="56"/>
      <c r="J10" s="47" t="s">
        <v>221</v>
      </c>
      <c r="K10" s="48">
        <f>Original!F36</f>
        <v>1117</v>
      </c>
      <c r="L10" s="49">
        <f>Original!G36</f>
        <v>0.83899999999999997</v>
      </c>
      <c r="M10" s="49">
        <f>Original!H36</f>
        <v>0.10100000000000001</v>
      </c>
      <c r="N10" s="49">
        <f>Original!I36</f>
        <v>3.5000000000000003E-2</v>
      </c>
      <c r="O10" s="49">
        <f>Original!J36</f>
        <v>1.2999999999999999E-2</v>
      </c>
      <c r="P10" s="49">
        <f>Original!K36</f>
        <v>1.2999999999999999E-2</v>
      </c>
      <c r="Q10" s="50">
        <f>Original!O36</f>
        <v>0.94</v>
      </c>
      <c r="R10" s="44"/>
      <c r="T10" s="168" t="s">
        <v>196</v>
      </c>
      <c r="U10" s="169"/>
      <c r="V10" s="69" t="s">
        <v>222</v>
      </c>
      <c r="W10" s="70" t="s">
        <v>223</v>
      </c>
      <c r="X10" s="71" t="s">
        <v>224</v>
      </c>
      <c r="Z10" s="19"/>
      <c r="AA10" s="72"/>
      <c r="AB10" s="36" t="s">
        <v>202</v>
      </c>
      <c r="AC10" s="37" t="s">
        <v>203</v>
      </c>
      <c r="AD10" s="73" t="s">
        <v>204</v>
      </c>
      <c r="AF10" s="74" t="s">
        <v>205</v>
      </c>
      <c r="AG10" s="40"/>
    </row>
    <row r="11" spans="1:33" ht="15.75" customHeight="1" thickBot="1" x14ac:dyDescent="0.25">
      <c r="A11" s="47" t="s">
        <v>225</v>
      </c>
      <c r="B11" s="48">
        <f>Original!F29</f>
        <v>994</v>
      </c>
      <c r="C11" s="49">
        <f>Original!G29</f>
        <v>0.81499999999999995</v>
      </c>
      <c r="D11" s="49">
        <f>Original!H29</f>
        <v>0.121</v>
      </c>
      <c r="E11" s="49">
        <f>Original!I29</f>
        <v>4.7E-2</v>
      </c>
      <c r="F11" s="49">
        <f>Original!J29</f>
        <v>1.0999999999999999E-2</v>
      </c>
      <c r="G11" s="49">
        <f>Original!K29</f>
        <v>6.0000000000000001E-3</v>
      </c>
      <c r="H11" s="50">
        <f>Original!O29</f>
        <v>0.93600000000000005</v>
      </c>
      <c r="I11" s="56"/>
      <c r="J11" s="47" t="s">
        <v>225</v>
      </c>
      <c r="K11" s="48">
        <f>Original!F37</f>
        <v>1164</v>
      </c>
      <c r="L11" s="49">
        <f>Original!G37</f>
        <v>0.82699999999999996</v>
      </c>
      <c r="M11" s="49">
        <f>Original!H37</f>
        <v>0.113</v>
      </c>
      <c r="N11" s="49">
        <f>Original!I37</f>
        <v>3.7999999999999999E-2</v>
      </c>
      <c r="O11" s="49">
        <f>Original!J37</f>
        <v>8.0000000000000002E-3</v>
      </c>
      <c r="P11" s="49">
        <f>Original!K37</f>
        <v>1.4E-2</v>
      </c>
      <c r="Q11" s="50">
        <f>Original!O37</f>
        <v>0.94099999999999995</v>
      </c>
      <c r="R11" s="44"/>
      <c r="T11" s="75" t="s">
        <v>207</v>
      </c>
      <c r="U11" s="31">
        <f>AB3</f>
        <v>0.93269999999999997</v>
      </c>
      <c r="V11" s="76">
        <f>AD3</f>
        <v>0.93149999999999999</v>
      </c>
      <c r="W11" s="76">
        <f>AC3</f>
        <v>0.92500000000000004</v>
      </c>
      <c r="X11" s="76">
        <f>AG3</f>
        <v>0.94159999999999999</v>
      </c>
      <c r="Z11" s="19"/>
      <c r="AA11" s="77" t="s">
        <v>226</v>
      </c>
      <c r="AB11" s="43">
        <f>AVERAGE(AG11,AD11,AC11)</f>
        <v>0.9307629629629629</v>
      </c>
      <c r="AC11" s="43">
        <f>AVERAGE(AC12:AC16)</f>
        <v>0.93559999999999999</v>
      </c>
      <c r="AD11" s="43">
        <f>AVERAGE(AD12:AD16)</f>
        <v>0.93879999999999997</v>
      </c>
      <c r="AF11" s="77" t="s">
        <v>226</v>
      </c>
      <c r="AG11" s="43">
        <f>AVERAGE(AG12:AG20)</f>
        <v>0.91788888888888898</v>
      </c>
    </row>
    <row r="12" spans="1:33" ht="15.75" customHeight="1" x14ac:dyDescent="0.2">
      <c r="A12" s="47" t="s">
        <v>227</v>
      </c>
      <c r="B12" s="48">
        <f>Original!F30</f>
        <v>996</v>
      </c>
      <c r="C12" s="49">
        <f>Original!G30</f>
        <v>0.755</v>
      </c>
      <c r="D12" s="49">
        <f>Original!H30</f>
        <v>0.159</v>
      </c>
      <c r="E12" s="49">
        <f>Original!I30</f>
        <v>5.8999999999999997E-2</v>
      </c>
      <c r="F12" s="49">
        <f>Original!J30</f>
        <v>1.7000000000000001E-2</v>
      </c>
      <c r="G12" s="49">
        <f>Original!K30</f>
        <v>0.01</v>
      </c>
      <c r="H12" s="50">
        <f>Original!O30</f>
        <v>0.91400000000000003</v>
      </c>
      <c r="I12" s="56"/>
      <c r="J12" s="47" t="s">
        <v>227</v>
      </c>
      <c r="K12" s="48">
        <f>Original!F38</f>
        <v>1165</v>
      </c>
      <c r="L12" s="49">
        <f>Original!G38</f>
        <v>0.79700000000000004</v>
      </c>
      <c r="M12" s="49">
        <f>Original!H38</f>
        <v>0.13800000000000001</v>
      </c>
      <c r="N12" s="49">
        <f>Original!I38</f>
        <v>4.3999999999999997E-2</v>
      </c>
      <c r="O12" s="49">
        <f>Original!J38</f>
        <v>1.0999999999999999E-2</v>
      </c>
      <c r="P12" s="49">
        <f>Original!K38</f>
        <v>0.01</v>
      </c>
      <c r="Q12" s="50">
        <f>Original!O38</f>
        <v>0.93500000000000005</v>
      </c>
      <c r="R12" s="44"/>
      <c r="T12" s="75" t="s">
        <v>226</v>
      </c>
      <c r="U12" s="31">
        <f>AB11</f>
        <v>0.9307629629629629</v>
      </c>
      <c r="V12" s="31">
        <f>AD11</f>
        <v>0.93879999999999997</v>
      </c>
      <c r="W12" s="31">
        <f>AC11</f>
        <v>0.93559999999999999</v>
      </c>
      <c r="X12" s="31">
        <f>AG11</f>
        <v>0.91788888888888898</v>
      </c>
      <c r="Z12" s="19"/>
      <c r="AA12" s="52" t="s">
        <v>212</v>
      </c>
      <c r="AB12" s="50"/>
      <c r="AC12" s="50">
        <f>H5</f>
        <v>0.92</v>
      </c>
      <c r="AD12" s="50">
        <f>Q5</f>
        <v>0.91600000000000004</v>
      </c>
      <c r="AF12" s="52" t="s">
        <v>228</v>
      </c>
      <c r="AG12" s="50">
        <f>H26</f>
        <v>0.97399999999999998</v>
      </c>
    </row>
    <row r="13" spans="1:33" ht="15.75" customHeight="1" x14ac:dyDescent="0.2">
      <c r="A13" s="47" t="s">
        <v>229</v>
      </c>
      <c r="B13" s="48">
        <f>Original!F31</f>
        <v>975</v>
      </c>
      <c r="C13" s="49">
        <f>Original!G31</f>
        <v>0.747</v>
      </c>
      <c r="D13" s="49">
        <f>Original!H31</f>
        <v>0.14399999999999999</v>
      </c>
      <c r="E13" s="49">
        <f>Original!I31</f>
        <v>7.0000000000000007E-2</v>
      </c>
      <c r="F13" s="49">
        <f>Original!J31</f>
        <v>2.5999999999999999E-2</v>
      </c>
      <c r="G13" s="49">
        <f>Original!K31</f>
        <v>1.4E-2</v>
      </c>
      <c r="H13" s="50">
        <f>Original!O31</f>
        <v>0.89</v>
      </c>
      <c r="I13" s="56"/>
      <c r="J13" s="47" t="s">
        <v>229</v>
      </c>
      <c r="K13" s="48">
        <f>Original!F39</f>
        <v>1147</v>
      </c>
      <c r="L13" s="49">
        <f>Original!G39</f>
        <v>0.77600000000000002</v>
      </c>
      <c r="M13" s="49">
        <f>Original!H39</f>
        <v>0.13600000000000001</v>
      </c>
      <c r="N13" s="49">
        <f>Original!I39</f>
        <v>5.8000000000000003E-2</v>
      </c>
      <c r="O13" s="49">
        <f>Original!J39</f>
        <v>1.6E-2</v>
      </c>
      <c r="P13" s="49">
        <f>Original!K39</f>
        <v>1.4999999999999999E-2</v>
      </c>
      <c r="Q13" s="50">
        <f>Original!O39</f>
        <v>0.91200000000000003</v>
      </c>
      <c r="R13" s="44"/>
      <c r="T13" s="75" t="s">
        <v>230</v>
      </c>
      <c r="U13" s="31">
        <f>AB24</f>
        <v>0.91816666666666669</v>
      </c>
      <c r="V13" s="31">
        <f>AD24</f>
        <v>0.91</v>
      </c>
      <c r="W13" s="31">
        <f>AC24</f>
        <v>0.89800000000000002</v>
      </c>
      <c r="X13" s="31">
        <f>AG24</f>
        <v>0.9464999999999999</v>
      </c>
      <c r="Z13" s="19"/>
      <c r="AA13" s="52" t="s">
        <v>225</v>
      </c>
      <c r="AB13" s="50"/>
      <c r="AC13" s="50">
        <f>H11</f>
        <v>0.93600000000000005</v>
      </c>
      <c r="AD13" s="50">
        <f>Q11</f>
        <v>0.94099999999999995</v>
      </c>
      <c r="AF13" s="52" t="s">
        <v>231</v>
      </c>
      <c r="AG13" s="50">
        <f>H27</f>
        <v>0.92100000000000004</v>
      </c>
    </row>
    <row r="14" spans="1:33" ht="15.75" customHeight="1" thickBot="1" x14ac:dyDescent="0.25">
      <c r="A14" s="47" t="s">
        <v>232</v>
      </c>
      <c r="B14" s="48">
        <f>Original!F32</f>
        <v>787</v>
      </c>
      <c r="C14" s="49">
        <f>Original!G32</f>
        <v>0.69399999999999995</v>
      </c>
      <c r="D14" s="49">
        <f>Original!H32</f>
        <v>0.17</v>
      </c>
      <c r="E14" s="49">
        <f>Original!I32</f>
        <v>7.8E-2</v>
      </c>
      <c r="F14" s="49">
        <f>Original!J32</f>
        <v>3.3000000000000002E-2</v>
      </c>
      <c r="G14" s="49">
        <f>Original!K32</f>
        <v>2.5000000000000001E-2</v>
      </c>
      <c r="H14" s="50">
        <f>Original!O32</f>
        <v>0.86399999999999999</v>
      </c>
      <c r="I14" s="56"/>
      <c r="J14" s="47" t="s">
        <v>232</v>
      </c>
      <c r="K14" s="48">
        <f>Original!F40</f>
        <v>998</v>
      </c>
      <c r="L14" s="49">
        <f>Original!G40</f>
        <v>0.72</v>
      </c>
      <c r="M14" s="49">
        <f>Original!H40</f>
        <v>0.154</v>
      </c>
      <c r="N14" s="49">
        <f>Original!I40</f>
        <v>0.08</v>
      </c>
      <c r="O14" s="49">
        <f>Original!J40</f>
        <v>2.5000000000000001E-2</v>
      </c>
      <c r="P14" s="49">
        <f>Original!K40</f>
        <v>0.02</v>
      </c>
      <c r="Q14" s="50">
        <f>Original!O40</f>
        <v>0.875</v>
      </c>
      <c r="R14" s="44"/>
      <c r="T14" s="78" t="s">
        <v>233</v>
      </c>
      <c r="U14" s="59">
        <f>AB30</f>
        <v>0.92616666666666658</v>
      </c>
      <c r="V14" s="59">
        <f>AD30</f>
        <v>0.93866666666666665</v>
      </c>
      <c r="W14" s="59">
        <f>AC30</f>
        <v>0.93633333333333335</v>
      </c>
      <c r="X14" s="59">
        <f>AG30</f>
        <v>0.90349999999999997</v>
      </c>
      <c r="Z14" s="19"/>
      <c r="AA14" s="52" t="s">
        <v>227</v>
      </c>
      <c r="AB14" s="50"/>
      <c r="AC14" s="50">
        <f>H12</f>
        <v>0.91400000000000003</v>
      </c>
      <c r="AD14" s="50">
        <f>Q12</f>
        <v>0.93500000000000005</v>
      </c>
      <c r="AF14" s="52" t="s">
        <v>251</v>
      </c>
      <c r="AG14" s="50">
        <f>H29</f>
        <v>0.94699999999999995</v>
      </c>
    </row>
    <row r="15" spans="1:33" ht="15.75" customHeight="1" thickBot="1" x14ac:dyDescent="0.25">
      <c r="A15" s="41" t="s">
        <v>234</v>
      </c>
      <c r="B15" s="42" t="str">
        <f>Original!F43</f>
        <v>Base: Who used Website[Excluded NA]</v>
      </c>
      <c r="C15" s="42" t="str">
        <f>Original!G43</f>
        <v>Strongly Agree</v>
      </c>
      <c r="D15" s="42" t="str">
        <f>Original!H43</f>
        <v>Agree</v>
      </c>
      <c r="E15" s="42" t="str">
        <f>Original!I43</f>
        <v>Neutral</v>
      </c>
      <c r="F15" s="42" t="str">
        <f>Original!J43</f>
        <v>Disagree</v>
      </c>
      <c r="G15" s="42" t="str">
        <f>Original!K43</f>
        <v>Strongly Disagree</v>
      </c>
      <c r="H15" s="43">
        <f>AVERAGE(H16:H16)</f>
        <v>0.92600000000000005</v>
      </c>
      <c r="I15" s="56"/>
      <c r="J15" s="41" t="s">
        <v>234</v>
      </c>
      <c r="K15" s="42" t="str">
        <f>Original!F48</f>
        <v>Base: Who used Mobile App [Excluded NA]</v>
      </c>
      <c r="L15" s="42" t="str">
        <f>Original!G48</f>
        <v>Strongly Agree</v>
      </c>
      <c r="M15" s="42" t="str">
        <f>Original!H48</f>
        <v>Agree</v>
      </c>
      <c r="N15" s="42" t="str">
        <f>Original!I48</f>
        <v>Neutral</v>
      </c>
      <c r="O15" s="42" t="str">
        <f>Original!J48</f>
        <v>Disagree</v>
      </c>
      <c r="P15" s="42" t="str">
        <f>Original!K48</f>
        <v>Strongly Disagree</v>
      </c>
      <c r="Q15" s="43">
        <f>AVERAGE(Q16:Q16)</f>
        <v>0.92200000000000004</v>
      </c>
      <c r="R15" s="44"/>
      <c r="Z15" s="19"/>
      <c r="AA15" s="52" t="s">
        <v>300</v>
      </c>
      <c r="AB15" s="50"/>
      <c r="AC15" s="50">
        <f>H16</f>
        <v>0.92600000000000005</v>
      </c>
      <c r="AD15" s="50">
        <f>Q16</f>
        <v>0.92200000000000004</v>
      </c>
      <c r="AF15" s="52" t="s">
        <v>301</v>
      </c>
      <c r="AG15" s="50">
        <f>H30</f>
        <v>0.94699999999999995</v>
      </c>
    </row>
    <row r="16" spans="1:33" ht="15.75" customHeight="1" thickBot="1" x14ac:dyDescent="0.25">
      <c r="A16" s="47" t="s">
        <v>235</v>
      </c>
      <c r="B16" s="48">
        <f>Original!F46</f>
        <v>996</v>
      </c>
      <c r="C16" s="49">
        <f>Original!G46</f>
        <v>0.77</v>
      </c>
      <c r="D16" s="49">
        <f>Original!H46</f>
        <v>0.156</v>
      </c>
      <c r="E16" s="49">
        <f>Original!I46</f>
        <v>4.5999999999999999E-2</v>
      </c>
      <c r="F16" s="49">
        <f>Original!J46</f>
        <v>1.4E-2</v>
      </c>
      <c r="G16" s="49">
        <f>Original!K46</f>
        <v>1.4E-2</v>
      </c>
      <c r="H16" s="50">
        <f>Original!O46</f>
        <v>0.92600000000000005</v>
      </c>
      <c r="I16" s="56"/>
      <c r="J16" s="47" t="s">
        <v>235</v>
      </c>
      <c r="K16" s="48">
        <f>Original!F51</f>
        <v>1160</v>
      </c>
      <c r="L16" s="49">
        <f>Original!G51</f>
        <v>0.77800000000000002</v>
      </c>
      <c r="M16" s="49">
        <f>Original!H51</f>
        <v>0.14399999999999999</v>
      </c>
      <c r="N16" s="49">
        <f>Original!I51</f>
        <v>4.9000000000000002E-2</v>
      </c>
      <c r="O16" s="49">
        <f>Original!J51</f>
        <v>1.2E-2</v>
      </c>
      <c r="P16" s="49">
        <f>Original!K51</f>
        <v>1.7000000000000001E-2</v>
      </c>
      <c r="Q16" s="50">
        <f>Original!O51</f>
        <v>0.92200000000000004</v>
      </c>
      <c r="R16" s="44"/>
      <c r="S16" s="79" t="s">
        <v>190</v>
      </c>
      <c r="T16" s="80" t="s">
        <v>137</v>
      </c>
      <c r="U16" s="81" t="str">
        <f>U1</f>
        <v>Satisfaction</v>
      </c>
      <c r="V16" s="82" t="str">
        <f>Original!S140</f>
        <v>Promoter</v>
      </c>
      <c r="W16" s="82" t="str">
        <f>Original!T140</f>
        <v>Passive</v>
      </c>
      <c r="X16" s="82" t="str">
        <f>Original!U140</f>
        <v>detractors</v>
      </c>
      <c r="Y16" s="83" t="str">
        <f>Original!V140</f>
        <v>NPS</v>
      </c>
      <c r="Z16" s="19"/>
      <c r="AA16" s="54" t="s">
        <v>236</v>
      </c>
      <c r="AB16" s="55"/>
      <c r="AC16" s="55">
        <f>H18</f>
        <v>0.98199999999999998</v>
      </c>
      <c r="AD16" s="55">
        <f>Q18</f>
        <v>0.98</v>
      </c>
      <c r="AF16" s="52" t="s">
        <v>237</v>
      </c>
      <c r="AG16" s="50">
        <f>H28</f>
        <v>0.86799999999999999</v>
      </c>
    </row>
    <row r="17" spans="1:33" ht="15.75" customHeight="1" thickBot="1" x14ac:dyDescent="0.25">
      <c r="A17" s="41" t="s">
        <v>238</v>
      </c>
      <c r="B17" s="42" t="str">
        <f>Original!F53</f>
        <v>Base: Who used Website [Excluded NA]</v>
      </c>
      <c r="C17" s="42" t="str">
        <f>Original!G53</f>
        <v>Strongly Agree</v>
      </c>
      <c r="D17" s="42" t="str">
        <f>Original!H53</f>
        <v>Agree</v>
      </c>
      <c r="E17" s="42" t="str">
        <f>Original!I53</f>
        <v>Neutral</v>
      </c>
      <c r="F17" s="42" t="str">
        <f>Original!J53</f>
        <v>Disagree</v>
      </c>
      <c r="G17" s="42" t="str">
        <f>Original!K53</f>
        <v>Strongly Disagree</v>
      </c>
      <c r="H17" s="43">
        <f>AVERAGE(H18:H18)</f>
        <v>0.98199999999999998</v>
      </c>
      <c r="I17" s="84"/>
      <c r="J17" s="41" t="s">
        <v>238</v>
      </c>
      <c r="K17" s="42" t="str">
        <f>Original!F57</f>
        <v>Base: Who used Mobile App [Excluded NA]</v>
      </c>
      <c r="L17" s="42" t="str">
        <f>Original!G57</f>
        <v>Strongly Agree</v>
      </c>
      <c r="M17" s="42" t="str">
        <f>Original!H57</f>
        <v>Agree</v>
      </c>
      <c r="N17" s="42" t="str">
        <f>Original!I57</f>
        <v>Neutral</v>
      </c>
      <c r="O17" s="42" t="str">
        <f>Original!J57</f>
        <v>Disagree</v>
      </c>
      <c r="P17" s="42" t="str">
        <f>Original!K57</f>
        <v>Strongly Disagree</v>
      </c>
      <c r="Q17" s="43">
        <f>AVERAGE(Q18:Q18)</f>
        <v>0.98</v>
      </c>
      <c r="R17" s="44"/>
      <c r="S17" s="29">
        <v>4</v>
      </c>
      <c r="T17" s="85" t="s">
        <v>201</v>
      </c>
      <c r="U17" s="86">
        <f>$Q$21</f>
        <v>0.93604444444444435</v>
      </c>
      <c r="V17" s="86">
        <f>Original!S145</f>
        <v>0.82</v>
      </c>
      <c r="W17" s="86">
        <f>Original!T145</f>
        <v>0.13</v>
      </c>
      <c r="X17" s="86">
        <f>Original!U145</f>
        <v>0.05</v>
      </c>
      <c r="Y17" s="87">
        <f>Original!V145</f>
        <v>0.76999999999999991</v>
      </c>
      <c r="Z17" s="19"/>
      <c r="AA17" s="65"/>
      <c r="AD17" s="66"/>
      <c r="AF17" s="52" t="s">
        <v>239</v>
      </c>
      <c r="AG17" s="50">
        <f>H33</f>
        <v>0.91900000000000004</v>
      </c>
    </row>
    <row r="18" spans="1:33" ht="15.75" customHeight="1" thickBot="1" x14ac:dyDescent="0.25">
      <c r="A18" s="47" t="s">
        <v>240</v>
      </c>
      <c r="B18" s="48">
        <f>Original!F54</f>
        <v>987</v>
      </c>
      <c r="C18" s="49">
        <f>Original!G54</f>
        <v>0.90800000000000003</v>
      </c>
      <c r="D18" s="49">
        <f>Original!H54</f>
        <v>7.3999999999999996E-2</v>
      </c>
      <c r="E18" s="49">
        <f>Original!I54</f>
        <v>1.2E-2</v>
      </c>
      <c r="F18" s="49">
        <f>Original!J54</f>
        <v>2E-3</v>
      </c>
      <c r="G18" s="49">
        <f>Original!K54</f>
        <v>4.0000000000000001E-3</v>
      </c>
      <c r="H18" s="50">
        <f>Original!O54</f>
        <v>0.98199999999999998</v>
      </c>
      <c r="I18" s="84"/>
      <c r="J18" s="47" t="s">
        <v>240</v>
      </c>
      <c r="K18" s="48">
        <f>Original!F58</f>
        <v>1153</v>
      </c>
      <c r="L18" s="49">
        <f>Original!G58</f>
        <v>0.91800000000000004</v>
      </c>
      <c r="M18" s="49">
        <f>Original!H58</f>
        <v>6.2E-2</v>
      </c>
      <c r="N18" s="49">
        <f>Original!I58</f>
        <v>1.2999999999999999E-2</v>
      </c>
      <c r="O18" s="49">
        <f>Original!J58</f>
        <v>2E-3</v>
      </c>
      <c r="P18" s="49">
        <f>Original!K58</f>
        <v>5.0000000000000001E-3</v>
      </c>
      <c r="Q18" s="50">
        <f>Original!O58</f>
        <v>0.98</v>
      </c>
      <c r="R18" s="44"/>
      <c r="S18" s="29">
        <v>3</v>
      </c>
      <c r="T18" s="88" t="s">
        <v>62</v>
      </c>
      <c r="U18" s="86">
        <f>$H$21</f>
        <v>0.93458888888888891</v>
      </c>
      <c r="V18" s="86">
        <f>Original!S144</f>
        <v>0.80700000000000005</v>
      </c>
      <c r="W18" s="86">
        <f>Original!T144</f>
        <v>0.14000000000000001</v>
      </c>
      <c r="X18" s="86">
        <f>Original!U144</f>
        <v>5.2999999999999999E-2</v>
      </c>
      <c r="Y18" s="87">
        <f>Original!V144</f>
        <v>0.754</v>
      </c>
      <c r="Z18" s="19"/>
      <c r="AA18" s="65"/>
      <c r="AD18" s="66"/>
      <c r="AF18" s="52" t="s">
        <v>241</v>
      </c>
      <c r="AG18" s="50">
        <f>H34</f>
        <v>0.81599999999999995</v>
      </c>
    </row>
    <row r="19" spans="1:33" ht="15.75" customHeight="1" thickBot="1" x14ac:dyDescent="0.25">
      <c r="A19" s="41" t="s">
        <v>56</v>
      </c>
      <c r="B19" s="42" t="str">
        <f>Original!C62</f>
        <v>Website</v>
      </c>
      <c r="C19" s="42" t="str">
        <f>Original!G61</f>
        <v>Very Happy</v>
      </c>
      <c r="D19" s="42" t="str">
        <f>Original!H61</f>
        <v>Happy</v>
      </c>
      <c r="E19" s="42" t="str">
        <f>Original!I61</f>
        <v>Neutral</v>
      </c>
      <c r="F19" s="42" t="str">
        <f>Original!J61</f>
        <v>Unhappy</v>
      </c>
      <c r="G19" s="42" t="str">
        <f>Original!K61</f>
        <v>Very Unhappy</v>
      </c>
      <c r="H19" s="43">
        <f>AVERAGE(H20)</f>
        <v>0.95099999999999996</v>
      </c>
      <c r="I19" s="84"/>
      <c r="J19" s="41" t="s">
        <v>56</v>
      </c>
      <c r="K19" s="42" t="str">
        <f>Original!C63</f>
        <v>Mobile app</v>
      </c>
      <c r="L19" s="42" t="str">
        <f>Original!G61</f>
        <v>Very Happy</v>
      </c>
      <c r="M19" s="42" t="str">
        <f>Original!H61</f>
        <v>Happy</v>
      </c>
      <c r="N19" s="42" t="str">
        <f>Original!I61</f>
        <v>Neutral</v>
      </c>
      <c r="O19" s="42" t="str">
        <f>Original!J61</f>
        <v>Unhappy</v>
      </c>
      <c r="P19" s="42" t="str">
        <f>Original!K61</f>
        <v>Very Unhappy</v>
      </c>
      <c r="Q19" s="43">
        <f>AVERAGE(Q20)</f>
        <v>0.95399999999999996</v>
      </c>
      <c r="R19" s="44"/>
      <c r="S19" s="29">
        <v>2</v>
      </c>
      <c r="T19" s="89" t="s">
        <v>209</v>
      </c>
      <c r="U19" s="86">
        <f>$H$46</f>
        <v>0.92500000000000004</v>
      </c>
      <c r="V19" s="86">
        <f>Original!S143</f>
        <v>0.78900000000000003</v>
      </c>
      <c r="W19" s="86">
        <f>Original!T143</f>
        <v>0.13200000000000001</v>
      </c>
      <c r="X19" s="86">
        <f>Original!U143</f>
        <v>7.9000000000000001E-2</v>
      </c>
      <c r="Y19" s="87">
        <f>Original!V143</f>
        <v>0.71000000000000008</v>
      </c>
      <c r="Z19" s="19"/>
      <c r="AA19" s="65"/>
      <c r="AD19" s="66"/>
      <c r="AF19" s="52" t="s">
        <v>242</v>
      </c>
      <c r="AG19" s="50">
        <f>H35</f>
        <v>0.89500000000000002</v>
      </c>
    </row>
    <row r="20" spans="1:33" ht="15.75" customHeight="1" thickBot="1" x14ac:dyDescent="0.25">
      <c r="A20" s="47" t="s">
        <v>56</v>
      </c>
      <c r="B20" s="48">
        <f>Original!F62</f>
        <v>1000</v>
      </c>
      <c r="C20" s="49">
        <f>Original!G62</f>
        <v>0.77300000000000002</v>
      </c>
      <c r="D20" s="49">
        <f>Original!H62</f>
        <v>0.17799999999999999</v>
      </c>
      <c r="E20" s="49">
        <f>Original!I62</f>
        <v>0.03</v>
      </c>
      <c r="F20" s="49">
        <f>Original!J62</f>
        <v>1.2999999999999999E-2</v>
      </c>
      <c r="G20" s="49">
        <f>Original!K62</f>
        <v>6.0000000000000001E-3</v>
      </c>
      <c r="H20" s="50">
        <f>Original!O62</f>
        <v>0.95099999999999996</v>
      </c>
      <c r="J20" s="90" t="s">
        <v>56</v>
      </c>
      <c r="K20" s="48">
        <f>Original!F63</f>
        <v>1167</v>
      </c>
      <c r="L20" s="49">
        <f>Original!G63</f>
        <v>0.80300000000000005</v>
      </c>
      <c r="M20" s="49">
        <f>Original!H63</f>
        <v>0.151</v>
      </c>
      <c r="N20" s="49">
        <f>Original!I63</f>
        <v>0.03</v>
      </c>
      <c r="O20" s="49">
        <f>Original!J63</f>
        <v>8.9999999999999993E-3</v>
      </c>
      <c r="P20" s="49">
        <f>Original!K63</f>
        <v>8.0000000000000002E-3</v>
      </c>
      <c r="Q20" s="50">
        <f>Original!O63</f>
        <v>0.95399999999999996</v>
      </c>
      <c r="R20" s="44"/>
      <c r="S20" s="29">
        <v>1</v>
      </c>
      <c r="T20" s="91" t="s">
        <v>100</v>
      </c>
      <c r="U20" s="86">
        <f>$Q$40</f>
        <v>0.91707777777777777</v>
      </c>
      <c r="V20" s="86">
        <f>Original!S142</f>
        <v>0.78300000000000003</v>
      </c>
      <c r="W20" s="86">
        <f>Original!T142</f>
        <v>0.128</v>
      </c>
      <c r="X20" s="86">
        <f>Original!U142</f>
        <v>8.8999999999999996E-2</v>
      </c>
      <c r="Y20" s="87">
        <f>Original!V142</f>
        <v>0.69400000000000006</v>
      </c>
      <c r="Z20" s="19"/>
      <c r="AA20" s="65"/>
      <c r="AD20" s="66"/>
      <c r="AF20" s="54" t="s">
        <v>243</v>
      </c>
      <c r="AG20" s="55">
        <f t="shared" ref="AG20" si="0">H36</f>
        <v>0.97399999999999998</v>
      </c>
    </row>
    <row r="21" spans="1:33" ht="15.75" customHeight="1" thickBot="1" x14ac:dyDescent="0.25">
      <c r="A21" s="170" t="s">
        <v>244</v>
      </c>
      <c r="B21" s="171"/>
      <c r="C21" s="171"/>
      <c r="D21" s="171"/>
      <c r="E21" s="171"/>
      <c r="F21" s="171"/>
      <c r="G21" s="172"/>
      <c r="H21" s="92">
        <f>AVERAGE(H19,H17,H15,H9,H7,H3)</f>
        <v>0.93458888888888891</v>
      </c>
      <c r="I21" s="84"/>
      <c r="J21" s="173" t="s">
        <v>244</v>
      </c>
      <c r="K21" s="174"/>
      <c r="L21" s="174"/>
      <c r="M21" s="174"/>
      <c r="N21" s="174"/>
      <c r="O21" s="174"/>
      <c r="P21" s="175"/>
      <c r="Q21" s="92">
        <f>AVERAGE(Q19,Q17,Q15,Q9,Q7,Q3)</f>
        <v>0.93604444444444435</v>
      </c>
      <c r="R21" s="44"/>
      <c r="S21" s="57">
        <v>5</v>
      </c>
      <c r="T21" s="93" t="s">
        <v>122</v>
      </c>
      <c r="U21" s="94">
        <f>$H$57</f>
        <v>0.87062499999999998</v>
      </c>
      <c r="V21" s="94">
        <f>Original!S146</f>
        <v>0.71899999999999997</v>
      </c>
      <c r="W21" s="94">
        <f>Original!T146</f>
        <v>0.13900000000000001</v>
      </c>
      <c r="X21" s="94">
        <f>Original!U146</f>
        <v>0.14199999999999999</v>
      </c>
      <c r="Y21" s="95">
        <f>Original!V146</f>
        <v>0.57699999999999996</v>
      </c>
      <c r="Z21" s="19"/>
      <c r="AA21" s="65"/>
      <c r="AD21" s="66"/>
      <c r="AF21"/>
      <c r="AG21" s="68"/>
    </row>
    <row r="22" spans="1:33" ht="15.75" customHeight="1" thickBot="1" x14ac:dyDescent="0.25">
      <c r="A22" s="62"/>
      <c r="C22" s="20"/>
      <c r="D22" s="20"/>
      <c r="E22" s="20"/>
      <c r="F22" s="20"/>
      <c r="G22" s="20"/>
      <c r="H22" s="20"/>
      <c r="I22" s="84"/>
      <c r="R22" s="44"/>
      <c r="Z22" s="19"/>
      <c r="AA22" s="65"/>
      <c r="AD22" s="66"/>
      <c r="AF22"/>
      <c r="AG22" s="68"/>
    </row>
    <row r="23" spans="1:33" ht="15.75" customHeight="1" thickBot="1" x14ac:dyDescent="0.25">
      <c r="A23" s="62"/>
      <c r="C23" s="20"/>
      <c r="D23" s="20"/>
      <c r="E23" s="20"/>
      <c r="F23" s="20"/>
      <c r="G23" s="20"/>
      <c r="H23" s="20"/>
      <c r="I23" s="84"/>
      <c r="R23" s="44"/>
      <c r="T23" s="96" t="s">
        <v>7</v>
      </c>
      <c r="U23" s="97" t="s">
        <v>245</v>
      </c>
      <c r="V23" s="98">
        <f>Original!S141</f>
        <v>0.79900000000000004</v>
      </c>
      <c r="W23" s="98">
        <f>Original!T141</f>
        <v>0.13400000000000001</v>
      </c>
      <c r="X23" s="98">
        <f>Original!U141</f>
        <v>6.7000000000000004E-2</v>
      </c>
      <c r="Y23" s="99">
        <f>Original!V141</f>
        <v>0.73199999999999998</v>
      </c>
      <c r="Z23" s="19"/>
      <c r="AA23" s="72"/>
      <c r="AB23" s="36" t="s">
        <v>202</v>
      </c>
      <c r="AC23" s="37" t="s">
        <v>203</v>
      </c>
      <c r="AD23" s="73" t="s">
        <v>204</v>
      </c>
      <c r="AF23" s="100" t="s">
        <v>205</v>
      </c>
      <c r="AG23" s="40"/>
    </row>
    <row r="24" spans="1:33" ht="15.75" customHeight="1" thickBot="1" x14ac:dyDescent="0.25">
      <c r="A24" s="101" t="s">
        <v>246</v>
      </c>
      <c r="B24" s="102" t="s">
        <v>198</v>
      </c>
      <c r="C24" s="102">
        <v>5</v>
      </c>
      <c r="D24" s="102">
        <v>4</v>
      </c>
      <c r="E24" s="102">
        <v>3</v>
      </c>
      <c r="F24" s="102">
        <v>2</v>
      </c>
      <c r="G24" s="102">
        <v>1</v>
      </c>
      <c r="H24" s="103" t="s">
        <v>199</v>
      </c>
      <c r="I24" s="84"/>
      <c r="J24" s="104" t="s">
        <v>247</v>
      </c>
      <c r="K24" s="105" t="s">
        <v>198</v>
      </c>
      <c r="L24" s="105">
        <v>5</v>
      </c>
      <c r="M24" s="105">
        <v>4</v>
      </c>
      <c r="N24" s="105">
        <v>3</v>
      </c>
      <c r="O24" s="105">
        <v>2</v>
      </c>
      <c r="P24" s="105">
        <v>1</v>
      </c>
      <c r="Q24" s="106" t="s">
        <v>199</v>
      </c>
      <c r="R24" s="44"/>
      <c r="S24" s="84"/>
      <c r="T24" s="20"/>
      <c r="Z24" s="19"/>
      <c r="AA24" s="77" t="s">
        <v>230</v>
      </c>
      <c r="AB24" s="43">
        <f>AVERAGE(AG24,AD24,AC24)</f>
        <v>0.91816666666666669</v>
      </c>
      <c r="AC24" s="43">
        <f>AVERAGE(AC25:AC27)</f>
        <v>0.89800000000000002</v>
      </c>
      <c r="AD24" s="43">
        <f>AVERAGE(AD25:AD27)</f>
        <v>0.91</v>
      </c>
      <c r="AF24" s="77" t="s">
        <v>230</v>
      </c>
      <c r="AG24" s="43">
        <f>AVERAGE(AG25:AG26)</f>
        <v>0.9464999999999999</v>
      </c>
    </row>
    <row r="25" spans="1:33" ht="15.75" customHeight="1" thickBot="1" x14ac:dyDescent="0.25">
      <c r="A25" s="107" t="s">
        <v>248</v>
      </c>
      <c r="B25" s="42" t="str">
        <f>Original!F78</f>
        <v>Base: Who used Customer service center</v>
      </c>
      <c r="C25" s="42" t="str">
        <f>Original!G78</f>
        <v>Strongly Agree</v>
      </c>
      <c r="D25" s="42" t="str">
        <f>Original!H78</f>
        <v>Agree</v>
      </c>
      <c r="E25" s="42" t="str">
        <f>Original!I78</f>
        <v>Neutral</v>
      </c>
      <c r="F25" s="42" t="str">
        <f>Original!J78</f>
        <v>Disagree</v>
      </c>
      <c r="G25" s="42" t="str">
        <f>Original!K78</f>
        <v>Strongly Disagree</v>
      </c>
      <c r="H25" s="43">
        <f>AVERAGE(H26:H30)</f>
        <v>0.93140000000000001</v>
      </c>
      <c r="I25" s="84"/>
      <c r="J25" s="107" t="s">
        <v>248</v>
      </c>
      <c r="K25" s="42" t="str">
        <f>Original!F69</f>
        <v>Base: Who used Call center</v>
      </c>
      <c r="L25" s="42" t="str">
        <f>Original!G69</f>
        <v>Strongly Agree</v>
      </c>
      <c r="M25" s="42" t="str">
        <f>Original!H69</f>
        <v>Agree</v>
      </c>
      <c r="N25" s="42" t="str">
        <f>Original!I69</f>
        <v>Neutral</v>
      </c>
      <c r="O25" s="42" t="str">
        <f>Original!J69</f>
        <v>Disagree</v>
      </c>
      <c r="P25" s="42" t="str">
        <f>Original!K69</f>
        <v>Strongly Disagree</v>
      </c>
      <c r="Q25" s="43">
        <f>AVERAGE(Q26:Q30)</f>
        <v>0.91539999999999999</v>
      </c>
      <c r="R25" s="44"/>
      <c r="S25" s="108" t="s">
        <v>9</v>
      </c>
      <c r="T25" s="109" t="s">
        <v>249</v>
      </c>
      <c r="U25" s="110" t="s">
        <v>65</v>
      </c>
      <c r="V25" s="110" t="s">
        <v>66</v>
      </c>
      <c r="W25" s="110" t="s">
        <v>4</v>
      </c>
      <c r="X25" s="110" t="s">
        <v>67</v>
      </c>
      <c r="Y25" s="111" t="s">
        <v>68</v>
      </c>
      <c r="Z25" s="19"/>
      <c r="AA25" s="52" t="s">
        <v>298</v>
      </c>
      <c r="AB25" s="50"/>
      <c r="AC25" s="50">
        <f>H8</f>
        <v>0.94</v>
      </c>
      <c r="AD25" s="50">
        <f>Q8</f>
        <v>0.94299999999999995</v>
      </c>
      <c r="AF25" s="52" t="s">
        <v>302</v>
      </c>
      <c r="AG25" s="50">
        <f>H30</f>
        <v>0.94699999999999995</v>
      </c>
    </row>
    <row r="26" spans="1:33" ht="15.75" customHeight="1" thickBot="1" x14ac:dyDescent="0.25">
      <c r="A26" s="47" t="s">
        <v>228</v>
      </c>
      <c r="B26" s="48">
        <f>Original!F79</f>
        <v>38</v>
      </c>
      <c r="C26" s="49">
        <f>Original!G79</f>
        <v>0.78900000000000003</v>
      </c>
      <c r="D26" s="49">
        <f>Original!H79</f>
        <v>0.184</v>
      </c>
      <c r="E26" s="49" t="str">
        <f>Original!I79</f>
        <v xml:space="preserve">- </v>
      </c>
      <c r="F26" s="49">
        <f>Original!J79</f>
        <v>2.5999999999999999E-2</v>
      </c>
      <c r="G26" s="49" t="str">
        <f>Original!K79</f>
        <v xml:space="preserve">- </v>
      </c>
      <c r="H26" s="50">
        <f>Original!O79</f>
        <v>0.97399999999999998</v>
      </c>
      <c r="J26" s="47" t="s">
        <v>228</v>
      </c>
      <c r="K26" s="48">
        <f>Original!F70</f>
        <v>515</v>
      </c>
      <c r="L26" s="49">
        <f>Original!G70</f>
        <v>0.81699999999999995</v>
      </c>
      <c r="M26" s="49">
        <f>Original!H70</f>
        <v>0.13</v>
      </c>
      <c r="N26" s="49">
        <f>Original!I70</f>
        <v>3.3000000000000002E-2</v>
      </c>
      <c r="O26" s="49">
        <f>Original!J70</f>
        <v>6.0000000000000001E-3</v>
      </c>
      <c r="P26" s="49">
        <f>Original!K70</f>
        <v>1.4E-2</v>
      </c>
      <c r="Q26" s="50">
        <f>Original!O70</f>
        <v>0.94799999999999995</v>
      </c>
      <c r="R26" s="44"/>
      <c r="S26" s="31">
        <f>Original!O67</f>
        <v>0.93200000000000005</v>
      </c>
      <c r="T26" s="112" t="s">
        <v>63</v>
      </c>
      <c r="U26" s="113">
        <f>Original!G67</f>
        <v>0.78500000000000003</v>
      </c>
      <c r="V26" s="113">
        <f>Original!H67</f>
        <v>0.14699999999999999</v>
      </c>
      <c r="W26" s="113">
        <f>Original!I67</f>
        <v>0.05</v>
      </c>
      <c r="X26" s="113">
        <f>Original!J67</f>
        <v>5.0000000000000001E-3</v>
      </c>
      <c r="Y26" s="114">
        <f>Original!K67</f>
        <v>1.2999999999999999E-2</v>
      </c>
      <c r="Z26" s="19"/>
      <c r="AA26" s="52" t="s">
        <v>229</v>
      </c>
      <c r="AB26" s="50"/>
      <c r="AC26" s="50">
        <f>H13</f>
        <v>0.89</v>
      </c>
      <c r="AD26" s="50">
        <f>Q13</f>
        <v>0.91200000000000003</v>
      </c>
      <c r="AF26" s="54" t="s">
        <v>250</v>
      </c>
      <c r="AG26" s="55">
        <f>H32</f>
        <v>0.94599999999999995</v>
      </c>
    </row>
    <row r="27" spans="1:33" ht="15.75" customHeight="1" thickBot="1" x14ac:dyDescent="0.25">
      <c r="A27" s="47" t="s">
        <v>231</v>
      </c>
      <c r="B27" s="48">
        <f>Original!F80</f>
        <v>38</v>
      </c>
      <c r="C27" s="49">
        <f>Original!G80</f>
        <v>0.76300000000000001</v>
      </c>
      <c r="D27" s="49">
        <f>Original!H80</f>
        <v>0.158</v>
      </c>
      <c r="E27" s="49">
        <f>Original!I80</f>
        <v>2.5999999999999999E-2</v>
      </c>
      <c r="F27" s="49">
        <f>Original!J80</f>
        <v>2.5999999999999999E-2</v>
      </c>
      <c r="G27" s="49">
        <f>Original!K80</f>
        <v>2.5999999999999999E-2</v>
      </c>
      <c r="H27" s="50">
        <f>Original!O80</f>
        <v>0.92100000000000004</v>
      </c>
      <c r="J27" s="47" t="s">
        <v>231</v>
      </c>
      <c r="K27" s="48">
        <f>Original!F71</f>
        <v>515</v>
      </c>
      <c r="L27" s="49">
        <f>Original!G71</f>
        <v>0.75700000000000001</v>
      </c>
      <c r="M27" s="49">
        <f>Original!H71</f>
        <v>0.13</v>
      </c>
      <c r="N27" s="49">
        <f>Original!I71</f>
        <v>5.3999999999999999E-2</v>
      </c>
      <c r="O27" s="49">
        <f>Original!J71</f>
        <v>3.3000000000000002E-2</v>
      </c>
      <c r="P27" s="49">
        <f>Original!K71</f>
        <v>2.5000000000000001E-2</v>
      </c>
      <c r="Q27" s="50">
        <f>Original!O71</f>
        <v>0.88700000000000001</v>
      </c>
      <c r="R27" s="115"/>
      <c r="S27" s="31">
        <f>Original!O66</f>
        <v>0.93500000000000005</v>
      </c>
      <c r="T27" s="112" t="s">
        <v>62</v>
      </c>
      <c r="U27" s="113">
        <f>Original!G66</f>
        <v>0.749</v>
      </c>
      <c r="V27" s="113">
        <f>Original!H66</f>
        <v>0.186</v>
      </c>
      <c r="W27" s="113">
        <f>Original!I66</f>
        <v>4.7E-2</v>
      </c>
      <c r="X27" s="113">
        <f>Original!J66</f>
        <v>8.9999999999999993E-3</v>
      </c>
      <c r="Y27" s="114">
        <f>Original!K66</f>
        <v>8.9999999999999993E-3</v>
      </c>
      <c r="Z27" s="19"/>
      <c r="AA27" s="54" t="s">
        <v>232</v>
      </c>
      <c r="AB27" s="55"/>
      <c r="AC27" s="55">
        <f>H14</f>
        <v>0.86399999999999999</v>
      </c>
      <c r="AD27" s="55">
        <f>Q14</f>
        <v>0.875</v>
      </c>
      <c r="AF27"/>
      <c r="AG27" s="68"/>
    </row>
    <row r="28" spans="1:33" ht="15.75" customHeight="1" thickBot="1" x14ac:dyDescent="0.25">
      <c r="A28" s="47" t="s">
        <v>237</v>
      </c>
      <c r="B28" s="48">
        <f>Original!F83</f>
        <v>38</v>
      </c>
      <c r="C28" s="49">
        <f>Original!G83</f>
        <v>0.71099999999999997</v>
      </c>
      <c r="D28" s="49">
        <f>Original!H83</f>
        <v>0.158</v>
      </c>
      <c r="E28" s="49">
        <f>Original!I83</f>
        <v>7.9000000000000001E-2</v>
      </c>
      <c r="F28" s="49">
        <f>Original!J83</f>
        <v>2.5999999999999999E-2</v>
      </c>
      <c r="G28" s="49">
        <f>Original!K83</f>
        <v>2.5999999999999999E-2</v>
      </c>
      <c r="H28" s="50">
        <f>Original!O83</f>
        <v>0.86799999999999999</v>
      </c>
      <c r="J28" s="47" t="s">
        <v>237</v>
      </c>
      <c r="K28" s="48">
        <f>Original!F74</f>
        <v>515</v>
      </c>
      <c r="L28" s="49">
        <f>Original!G74</f>
        <v>0.66600000000000004</v>
      </c>
      <c r="M28" s="49">
        <f>Original!H74</f>
        <v>0.159</v>
      </c>
      <c r="N28" s="49">
        <f>Original!I74</f>
        <v>9.7000000000000003E-2</v>
      </c>
      <c r="O28" s="49">
        <f>Original!J74</f>
        <v>3.3000000000000002E-2</v>
      </c>
      <c r="P28" s="49">
        <f>Original!K74</f>
        <v>4.4999999999999998E-2</v>
      </c>
      <c r="Q28" s="50">
        <f>Original!O74</f>
        <v>0.82499999999999996</v>
      </c>
      <c r="R28" s="19"/>
      <c r="S28" s="31">
        <f>H39</f>
        <v>0.92100000000000004</v>
      </c>
      <c r="T28" s="116" t="s">
        <v>209</v>
      </c>
      <c r="U28" s="113">
        <f>C39</f>
        <v>0.76300000000000001</v>
      </c>
      <c r="V28" s="113">
        <f>D39</f>
        <v>0.158</v>
      </c>
      <c r="W28" s="113">
        <f>E39</f>
        <v>5.2999999999999999E-2</v>
      </c>
      <c r="X28" s="113" t="str">
        <f>F39</f>
        <v xml:space="preserve">- </v>
      </c>
      <c r="Y28" s="114">
        <f>G39</f>
        <v>2.5999999999999999E-2</v>
      </c>
      <c r="Z28" s="19"/>
      <c r="AA28" s="65"/>
      <c r="AD28" s="66"/>
      <c r="AF28"/>
      <c r="AG28" s="68"/>
    </row>
    <row r="29" spans="1:33" ht="15.75" customHeight="1" thickBot="1" x14ac:dyDescent="0.25">
      <c r="A29" s="47" t="s">
        <v>251</v>
      </c>
      <c r="B29" s="48">
        <f>Original!F84</f>
        <v>38</v>
      </c>
      <c r="C29" s="49">
        <f>Original!G84</f>
        <v>0.86799999999999999</v>
      </c>
      <c r="D29" s="49">
        <f>Original!H84</f>
        <v>7.9000000000000001E-2</v>
      </c>
      <c r="E29" s="49" t="str">
        <f>Original!I84</f>
        <v xml:space="preserve">- </v>
      </c>
      <c r="F29" s="49">
        <f>Original!J84</f>
        <v>2.5999999999999999E-2</v>
      </c>
      <c r="G29" s="49">
        <f>Original!K84</f>
        <v>2.5999999999999999E-2</v>
      </c>
      <c r="H29" s="50">
        <f>Original!O84</f>
        <v>0.94699999999999995</v>
      </c>
      <c r="I29" s="56"/>
      <c r="J29" s="47" t="s">
        <v>251</v>
      </c>
      <c r="K29" s="48">
        <f>Original!F75</f>
        <v>515</v>
      </c>
      <c r="L29" s="49">
        <f>Original!G75</f>
        <v>0.92600000000000005</v>
      </c>
      <c r="M29" s="49">
        <f>Original!H75</f>
        <v>5.1999999999999998E-2</v>
      </c>
      <c r="N29" s="49">
        <f>Original!I75</f>
        <v>1.4E-2</v>
      </c>
      <c r="O29" s="49">
        <f>Original!J75</f>
        <v>4.0000000000000001E-3</v>
      </c>
      <c r="P29" s="49">
        <f>Original!K75</f>
        <v>4.0000000000000001E-3</v>
      </c>
      <c r="Q29" s="50">
        <f>Original!O75</f>
        <v>0.97899999999999998</v>
      </c>
      <c r="R29" s="19"/>
      <c r="S29" s="31">
        <f>Q39</f>
        <v>0.90900000000000003</v>
      </c>
      <c r="T29" s="116" t="s">
        <v>100</v>
      </c>
      <c r="U29" s="113">
        <f>L39</f>
        <v>0.76700000000000002</v>
      </c>
      <c r="V29" s="113">
        <f>M39</f>
        <v>0.14199999999999999</v>
      </c>
      <c r="W29" s="113">
        <f>N39</f>
        <v>5.3999999999999999E-2</v>
      </c>
      <c r="X29" s="113">
        <f>O39</f>
        <v>2.1000000000000001E-2</v>
      </c>
      <c r="Y29" s="114">
        <f>P39</f>
        <v>1.6E-2</v>
      </c>
      <c r="Z29" s="19"/>
      <c r="AA29" s="72"/>
      <c r="AB29" s="36" t="s">
        <v>202</v>
      </c>
      <c r="AC29" s="37" t="s">
        <v>203</v>
      </c>
      <c r="AD29" s="73" t="s">
        <v>204</v>
      </c>
      <c r="AF29" s="100" t="s">
        <v>205</v>
      </c>
      <c r="AG29" s="40"/>
    </row>
    <row r="30" spans="1:33" ht="15.75" customHeight="1" thickBot="1" x14ac:dyDescent="0.25">
      <c r="A30" s="47" t="s">
        <v>252</v>
      </c>
      <c r="B30" s="48">
        <f>Original!F85</f>
        <v>38</v>
      </c>
      <c r="C30" s="49">
        <f>Original!G85</f>
        <v>0.81599999999999995</v>
      </c>
      <c r="D30" s="49">
        <f>Original!H85</f>
        <v>0.13200000000000001</v>
      </c>
      <c r="E30" s="49">
        <f>Original!I85</f>
        <v>2.5999999999999999E-2</v>
      </c>
      <c r="F30" s="49" t="str">
        <f>Original!J85</f>
        <v xml:space="preserve">- </v>
      </c>
      <c r="G30" s="49">
        <f>Original!K85</f>
        <v>2.5999999999999999E-2</v>
      </c>
      <c r="H30" s="50">
        <f>Original!O85</f>
        <v>0.94699999999999995</v>
      </c>
      <c r="I30" s="56"/>
      <c r="J30" s="47" t="s">
        <v>252</v>
      </c>
      <c r="K30" s="48">
        <f>Original!F76</f>
        <v>515</v>
      </c>
      <c r="L30" s="49">
        <f>Original!G76</f>
        <v>0.82299999999999995</v>
      </c>
      <c r="M30" s="49">
        <f>Original!H76</f>
        <v>0.115</v>
      </c>
      <c r="N30" s="49">
        <f>Original!I76</f>
        <v>3.9E-2</v>
      </c>
      <c r="O30" s="49">
        <f>Original!J76</f>
        <v>6.0000000000000001E-3</v>
      </c>
      <c r="P30" s="49">
        <f>Original!K76</f>
        <v>1.7000000000000001E-2</v>
      </c>
      <c r="Q30" s="50">
        <f>Original!O76</f>
        <v>0.93799999999999994</v>
      </c>
      <c r="R30" s="28"/>
      <c r="S30" s="59">
        <f>H56</f>
        <v>0.81899999999999995</v>
      </c>
      <c r="T30" s="117" t="s">
        <v>122</v>
      </c>
      <c r="U30" s="118">
        <f>C56</f>
        <v>0.67300000000000004</v>
      </c>
      <c r="V30" s="118">
        <f>D56</f>
        <v>0.14599999999999999</v>
      </c>
      <c r="W30" s="118">
        <f>E56</f>
        <v>8.2000000000000003E-2</v>
      </c>
      <c r="X30" s="118">
        <f>F56</f>
        <v>2.1000000000000001E-2</v>
      </c>
      <c r="Y30" s="119">
        <f>G56</f>
        <v>7.8E-2</v>
      </c>
      <c r="Z30" s="19"/>
      <c r="AA30" s="77" t="s">
        <v>233</v>
      </c>
      <c r="AB30" s="43">
        <f>AVERAGE(AG30,AD30,AC30)</f>
        <v>0.92616666666666658</v>
      </c>
      <c r="AC30" s="43">
        <f>AVERAGE(AC31:AC33)</f>
        <v>0.93633333333333335</v>
      </c>
      <c r="AD30" s="43">
        <f>AVERAGE(AD31:AD33)</f>
        <v>0.93866666666666665</v>
      </c>
      <c r="AE30" s="67"/>
      <c r="AF30" s="77" t="s">
        <v>233</v>
      </c>
      <c r="AG30" s="43">
        <f>AVERAGE(AG31:AG32)</f>
        <v>0.90349999999999997</v>
      </c>
    </row>
    <row r="31" spans="1:33" ht="15.75" customHeight="1" thickBot="1" x14ac:dyDescent="0.25">
      <c r="A31" s="41" t="s">
        <v>253</v>
      </c>
      <c r="B31" s="42" t="str">
        <f>Original!F99</f>
        <v>Base: Who used Service center [Excluded NA]</v>
      </c>
      <c r="C31" s="42" t="str">
        <f>Original!G99</f>
        <v>Strongly Agree</v>
      </c>
      <c r="D31" s="42" t="str">
        <f>Original!H99</f>
        <v>Agree</v>
      </c>
      <c r="E31" s="42" t="str">
        <f>Original!I99</f>
        <v>Neutral</v>
      </c>
      <c r="F31" s="42" t="str">
        <f>Original!J99</f>
        <v>Disagree</v>
      </c>
      <c r="G31" s="42" t="str">
        <f>Original!K99</f>
        <v>Strongly Disagree</v>
      </c>
      <c r="H31" s="43">
        <f>AVERAGE(H32:H37)</f>
        <v>0.90600000000000003</v>
      </c>
      <c r="J31" s="41" t="s">
        <v>254</v>
      </c>
      <c r="K31" s="42" t="str">
        <f>Original!F87</f>
        <v>Base: Who used Call Center [Excluded NA]</v>
      </c>
      <c r="L31" s="42" t="str">
        <f>Original!G87</f>
        <v>Strongly Agree</v>
      </c>
      <c r="M31" s="42" t="str">
        <f>Original!H87</f>
        <v>Agree</v>
      </c>
      <c r="N31" s="42" t="str">
        <f>Original!I87</f>
        <v>Neutral</v>
      </c>
      <c r="O31" s="42" t="str">
        <f>Original!J87</f>
        <v>Disagree</v>
      </c>
      <c r="P31" s="42" t="str">
        <f>Original!K87</f>
        <v>Strongly Disagree</v>
      </c>
      <c r="Q31" s="43">
        <f>AVERAGE(Q32:Q37)</f>
        <v>0.92683333333333329</v>
      </c>
      <c r="R31" s="120"/>
      <c r="S31" s="84"/>
      <c r="Z31" s="121"/>
      <c r="AA31" s="52" t="s">
        <v>221</v>
      </c>
      <c r="AB31" s="50"/>
      <c r="AC31" s="50">
        <f>H10</f>
        <v>0.93200000000000005</v>
      </c>
      <c r="AD31" s="50">
        <f>Q10</f>
        <v>0.94</v>
      </c>
      <c r="AF31" s="52" t="s">
        <v>255</v>
      </c>
      <c r="AG31" s="50">
        <f>H37</f>
        <v>0.88600000000000001</v>
      </c>
    </row>
    <row r="32" spans="1:33" ht="15.75" customHeight="1" thickBot="1" x14ac:dyDescent="0.25">
      <c r="A32" s="47" t="s">
        <v>250</v>
      </c>
      <c r="B32" s="48">
        <f>Original!F101</f>
        <v>37</v>
      </c>
      <c r="C32" s="49">
        <f>Original!G101</f>
        <v>0.91900000000000004</v>
      </c>
      <c r="D32" s="49">
        <f>Original!H101</f>
        <v>2.7E-2</v>
      </c>
      <c r="E32" s="49">
        <f>Original!I101</f>
        <v>2.7E-2</v>
      </c>
      <c r="F32" s="49">
        <f>Original!J101</f>
        <v>2.7E-2</v>
      </c>
      <c r="G32" s="49" t="str">
        <f>Original!K101</f>
        <v xml:space="preserve">- </v>
      </c>
      <c r="H32" s="50">
        <f>Original!O101</f>
        <v>0.94599999999999995</v>
      </c>
      <c r="J32" s="47" t="s">
        <v>256</v>
      </c>
      <c r="K32" s="48">
        <f>Original!F89</f>
        <v>513</v>
      </c>
      <c r="L32" s="49">
        <f>Original!G89</f>
        <v>0.89300000000000002</v>
      </c>
      <c r="M32" s="49">
        <f>Original!H89</f>
        <v>8.4000000000000005E-2</v>
      </c>
      <c r="N32" s="49">
        <f>Original!I89</f>
        <v>1.6E-2</v>
      </c>
      <c r="O32" s="49">
        <f>Original!J89</f>
        <v>4.0000000000000001E-3</v>
      </c>
      <c r="P32" s="49">
        <f>Original!K89</f>
        <v>4.0000000000000001E-3</v>
      </c>
      <c r="Q32" s="50">
        <f>Original!O89</f>
        <v>0.97699999999999998</v>
      </c>
      <c r="R32" s="44"/>
      <c r="S32" s="84"/>
      <c r="T32" s="122"/>
      <c r="Z32" s="19"/>
      <c r="AA32" s="52" t="s">
        <v>299</v>
      </c>
      <c r="AB32" s="50"/>
      <c r="AC32" s="50">
        <f>H16</f>
        <v>0.92600000000000005</v>
      </c>
      <c r="AD32" s="50">
        <f>Q16</f>
        <v>0.92200000000000004</v>
      </c>
      <c r="AF32" s="54" t="s">
        <v>257</v>
      </c>
      <c r="AG32" s="55">
        <f>H39</f>
        <v>0.92100000000000004</v>
      </c>
    </row>
    <row r="33" spans="1:33" ht="15.75" customHeight="1" thickBot="1" x14ac:dyDescent="0.25">
      <c r="A33" s="47" t="s">
        <v>239</v>
      </c>
      <c r="B33" s="48">
        <f>Original!F104</f>
        <v>37</v>
      </c>
      <c r="C33" s="49">
        <f>Original!G104</f>
        <v>0.86499999999999999</v>
      </c>
      <c r="D33" s="49">
        <f>Original!H104</f>
        <v>5.3999999999999999E-2</v>
      </c>
      <c r="E33" s="49">
        <f>Original!I104</f>
        <v>5.3999999999999999E-2</v>
      </c>
      <c r="F33" s="49" t="str">
        <f>Original!J104</f>
        <v xml:space="preserve">- </v>
      </c>
      <c r="G33" s="49">
        <f>Original!K104</f>
        <v>2.7E-2</v>
      </c>
      <c r="H33" s="50">
        <f>Original!O104</f>
        <v>0.91900000000000004</v>
      </c>
      <c r="J33" s="47" t="s">
        <v>258</v>
      </c>
      <c r="K33" s="48">
        <f>Original!F92</f>
        <v>510</v>
      </c>
      <c r="L33" s="49">
        <f>Original!G92</f>
        <v>0.88200000000000001</v>
      </c>
      <c r="M33" s="49">
        <f>Original!H92</f>
        <v>7.4999999999999997E-2</v>
      </c>
      <c r="N33" s="49">
        <f>Original!I92</f>
        <v>2.4E-2</v>
      </c>
      <c r="O33" s="49">
        <f>Original!J92</f>
        <v>4.0000000000000001E-3</v>
      </c>
      <c r="P33" s="49">
        <f>Original!K92</f>
        <v>1.6E-2</v>
      </c>
      <c r="Q33" s="50">
        <f>Original!O92</f>
        <v>0.95699999999999996</v>
      </c>
      <c r="R33" s="44"/>
      <c r="T33" s="20"/>
      <c r="U33" s="96" t="s">
        <v>259</v>
      </c>
      <c r="V33" s="97" t="s">
        <v>190</v>
      </c>
      <c r="W33" s="123" t="s">
        <v>199</v>
      </c>
      <c r="X33" s="67"/>
      <c r="Y33" s="67"/>
      <c r="Z33" s="19"/>
      <c r="AA33" s="54" t="s">
        <v>56</v>
      </c>
      <c r="AB33" s="55"/>
      <c r="AC33" s="55">
        <f>H20</f>
        <v>0.95099999999999996</v>
      </c>
      <c r="AD33" s="55">
        <f>Q20</f>
        <v>0.95399999999999996</v>
      </c>
      <c r="AE33" s="124"/>
      <c r="AF33" s="124"/>
      <c r="AG33" s="125"/>
    </row>
    <row r="34" spans="1:33" s="67" customFormat="1" ht="15.75" customHeight="1" thickBot="1" x14ac:dyDescent="0.25">
      <c r="A34" s="47" t="s">
        <v>241</v>
      </c>
      <c r="B34" s="48">
        <f>Original!F105</f>
        <v>38</v>
      </c>
      <c r="C34" s="49">
        <f>Original!G105</f>
        <v>0.73699999999999999</v>
      </c>
      <c r="D34" s="49">
        <f>Original!H105</f>
        <v>7.9000000000000001E-2</v>
      </c>
      <c r="E34" s="49">
        <f>Original!I105</f>
        <v>0.13200000000000001</v>
      </c>
      <c r="F34" s="49">
        <f>Original!J105</f>
        <v>2.5999999999999999E-2</v>
      </c>
      <c r="G34" s="49">
        <f>Original!K105</f>
        <v>2.5999999999999999E-2</v>
      </c>
      <c r="H34" s="50">
        <f>Original!O105</f>
        <v>0.81599999999999995</v>
      </c>
      <c r="I34" s="20"/>
      <c r="J34" s="47" t="s">
        <v>260</v>
      </c>
      <c r="K34" s="48">
        <f>Original!F93</f>
        <v>508</v>
      </c>
      <c r="L34" s="49">
        <f>Original!G93</f>
        <v>0.73799999999999999</v>
      </c>
      <c r="M34" s="49">
        <f>Original!H93</f>
        <v>0.13200000000000001</v>
      </c>
      <c r="N34" s="49">
        <f>Original!I93</f>
        <v>7.2999999999999995E-2</v>
      </c>
      <c r="O34" s="49">
        <f>Original!J93</f>
        <v>1.4E-2</v>
      </c>
      <c r="P34" s="49">
        <f>Original!K93</f>
        <v>4.2999999999999997E-2</v>
      </c>
      <c r="Q34" s="50">
        <f>Original!O93</f>
        <v>0.87</v>
      </c>
      <c r="R34" s="44"/>
      <c r="S34" s="20"/>
      <c r="T34" s="96" t="s">
        <v>261</v>
      </c>
      <c r="U34" s="126" t="str">
        <f>Original!$V$148</f>
        <v>Female</v>
      </c>
      <c r="V34" s="127">
        <f>Original!$V$151</f>
        <v>1598</v>
      </c>
      <c r="W34" s="31">
        <f>Original!$V$160</f>
        <v>0.93899999999999995</v>
      </c>
      <c r="X34" s="20"/>
      <c r="Y34" s="20"/>
      <c r="Z34" s="19"/>
      <c r="AA34" s="20"/>
      <c r="AB34" s="20"/>
      <c r="AC34" s="20"/>
      <c r="AD34" s="20"/>
      <c r="AE34" s="20"/>
      <c r="AF34" s="20"/>
      <c r="AG34" s="20"/>
    </row>
    <row r="35" spans="1:33" ht="15.75" customHeight="1" thickBot="1" x14ac:dyDescent="0.25">
      <c r="A35" s="47" t="s">
        <v>242</v>
      </c>
      <c r="B35" s="48">
        <f>Original!F106</f>
        <v>38</v>
      </c>
      <c r="C35" s="49">
        <f>Original!G106</f>
        <v>0.78900000000000003</v>
      </c>
      <c r="D35" s="49">
        <f>Original!H106</f>
        <v>0.105</v>
      </c>
      <c r="E35" s="49">
        <f>Original!I106</f>
        <v>7.9000000000000001E-2</v>
      </c>
      <c r="F35" s="49" t="str">
        <f>Original!J106</f>
        <v xml:space="preserve">- </v>
      </c>
      <c r="G35" s="49">
        <f>Original!K106</f>
        <v>2.5999999999999999E-2</v>
      </c>
      <c r="H35" s="50">
        <f>Original!O106</f>
        <v>0.89500000000000002</v>
      </c>
      <c r="J35" s="47" t="s">
        <v>262</v>
      </c>
      <c r="K35" s="48">
        <f>Original!F94</f>
        <v>512</v>
      </c>
      <c r="L35" s="49">
        <f>Original!G94</f>
        <v>0.82799999999999996</v>
      </c>
      <c r="M35" s="49">
        <f>Original!H94</f>
        <v>0.11700000000000001</v>
      </c>
      <c r="N35" s="49">
        <f>Original!I94</f>
        <v>3.1E-2</v>
      </c>
      <c r="O35" s="49">
        <f>Original!J94</f>
        <v>1.4E-2</v>
      </c>
      <c r="P35" s="49">
        <f>Original!K94</f>
        <v>0.01</v>
      </c>
      <c r="Q35" s="50">
        <f>Original!O94</f>
        <v>0.94499999999999995</v>
      </c>
      <c r="R35" s="44"/>
      <c r="T35" s="20"/>
      <c r="U35" s="128" t="str">
        <f>Original!$U$148</f>
        <v>Male</v>
      </c>
      <c r="V35" s="129">
        <f>Original!$U$151</f>
        <v>1403</v>
      </c>
      <c r="W35" s="59">
        <f>Original!$U$160</f>
        <v>0.92400000000000004</v>
      </c>
      <c r="Z35" s="19"/>
    </row>
    <row r="36" spans="1:33" ht="15.75" customHeight="1" thickBot="1" x14ac:dyDescent="0.25">
      <c r="A36" s="47" t="s">
        <v>243</v>
      </c>
      <c r="B36" s="48">
        <f>Original!F107</f>
        <v>38</v>
      </c>
      <c r="C36" s="49">
        <f>Original!G107</f>
        <v>0.76300000000000001</v>
      </c>
      <c r="D36" s="49">
        <f>Original!H107</f>
        <v>0.21099999999999999</v>
      </c>
      <c r="E36" s="49" t="str">
        <f>Original!I107</f>
        <v xml:space="preserve">- </v>
      </c>
      <c r="F36" s="49" t="str">
        <f>Original!J107</f>
        <v xml:space="preserve">- </v>
      </c>
      <c r="G36" s="49">
        <f>Original!K107</f>
        <v>2.5999999999999999E-2</v>
      </c>
      <c r="H36" s="50">
        <f>Original!O107</f>
        <v>0.97399999999999998</v>
      </c>
      <c r="J36" s="47" t="s">
        <v>263</v>
      </c>
      <c r="K36" s="48">
        <f>Original!F95</f>
        <v>513</v>
      </c>
      <c r="L36" s="49">
        <f>Original!G95</f>
        <v>0.76400000000000001</v>
      </c>
      <c r="M36" s="49">
        <f>Original!H95</f>
        <v>0.14399999999999999</v>
      </c>
      <c r="N36" s="49">
        <f>Original!I95</f>
        <v>5.2999999999999999E-2</v>
      </c>
      <c r="O36" s="49">
        <f>Original!J95</f>
        <v>2.1000000000000001E-2</v>
      </c>
      <c r="P36" s="49">
        <f>Original!K95</f>
        <v>1.7999999999999999E-2</v>
      </c>
      <c r="Q36" s="50">
        <f>Original!O95</f>
        <v>0.90800000000000003</v>
      </c>
      <c r="R36" s="44"/>
      <c r="T36" s="20"/>
      <c r="U36" s="84"/>
      <c r="V36" s="130"/>
      <c r="W36" s="49"/>
      <c r="Z36" s="19"/>
    </row>
    <row r="37" spans="1:33" ht="15.75" customHeight="1" thickBot="1" x14ac:dyDescent="0.25">
      <c r="A37" s="47" t="s">
        <v>255</v>
      </c>
      <c r="B37" s="48">
        <f>Original!F109</f>
        <v>35</v>
      </c>
      <c r="C37" s="49">
        <f>Original!G109</f>
        <v>0.82899999999999996</v>
      </c>
      <c r="D37" s="49">
        <f>Original!H109</f>
        <v>5.7000000000000002E-2</v>
      </c>
      <c r="E37" s="49">
        <f>Original!I109</f>
        <v>2.9000000000000001E-2</v>
      </c>
      <c r="F37" s="49">
        <f>Original!J109</f>
        <v>2.9000000000000001E-2</v>
      </c>
      <c r="G37" s="49">
        <f>Original!K109</f>
        <v>5.7000000000000002E-2</v>
      </c>
      <c r="H37" s="50">
        <f>Original!O109</f>
        <v>0.88600000000000001</v>
      </c>
      <c r="J37" s="47" t="s">
        <v>264</v>
      </c>
      <c r="K37" s="48">
        <f>Original!F97</f>
        <v>437</v>
      </c>
      <c r="L37" s="49">
        <f>Original!G97</f>
        <v>0.77100000000000002</v>
      </c>
      <c r="M37" s="49">
        <f>Original!H97</f>
        <v>0.13300000000000001</v>
      </c>
      <c r="N37" s="49">
        <f>Original!I97</f>
        <v>5.5E-2</v>
      </c>
      <c r="O37" s="49">
        <f>Original!J97</f>
        <v>2.1000000000000001E-2</v>
      </c>
      <c r="P37" s="49">
        <f>Original!K97</f>
        <v>2.1000000000000001E-2</v>
      </c>
      <c r="Q37" s="50">
        <f>Original!O97</f>
        <v>0.90400000000000003</v>
      </c>
      <c r="R37" s="44"/>
      <c r="T37" s="96" t="s">
        <v>265</v>
      </c>
      <c r="U37" s="131" t="str">
        <f>Original!$AC$148</f>
        <v>Others</v>
      </c>
      <c r="V37" s="132">
        <f>Original!$AC$151</f>
        <v>11</v>
      </c>
      <c r="W37" s="133">
        <f>Original!$AC$160</f>
        <v>1</v>
      </c>
      <c r="Z37" s="19"/>
    </row>
    <row r="38" spans="1:33" ht="15.75" customHeight="1" thickBot="1" x14ac:dyDescent="0.25">
      <c r="A38" s="41" t="s">
        <v>257</v>
      </c>
      <c r="B38" s="42" t="str">
        <f>Original!C113</f>
        <v>Customer service center</v>
      </c>
      <c r="C38" s="42" t="str">
        <f>Original!G111</f>
        <v>Very Happy</v>
      </c>
      <c r="D38" s="42" t="str">
        <f>Original!H111</f>
        <v>Happy</v>
      </c>
      <c r="E38" s="42" t="str">
        <f>Original!I111</f>
        <v>Neutral</v>
      </c>
      <c r="F38" s="42" t="str">
        <f>Original!J111</f>
        <v>Unhappy</v>
      </c>
      <c r="G38" s="42" t="str">
        <f>Original!K111</f>
        <v>Very Unhappy</v>
      </c>
      <c r="H38" s="43">
        <f>AVERAGE(H39)</f>
        <v>0.92100000000000004</v>
      </c>
      <c r="J38" s="41" t="s">
        <v>257</v>
      </c>
      <c r="K38" s="42" t="str">
        <f>Original!C112</f>
        <v>Call Center</v>
      </c>
      <c r="L38" s="42" t="str">
        <f>Original!G111</f>
        <v>Very Happy</v>
      </c>
      <c r="M38" s="42" t="str">
        <f>Original!H111</f>
        <v>Happy</v>
      </c>
      <c r="N38" s="42" t="str">
        <f>Original!I111</f>
        <v>Neutral</v>
      </c>
      <c r="O38" s="42" t="str">
        <f>Original!J111</f>
        <v>Unhappy</v>
      </c>
      <c r="P38" s="42" t="str">
        <f>Original!K111</f>
        <v>Very Unhappy</v>
      </c>
      <c r="Q38" s="43">
        <f>AVERAGE(Q39)</f>
        <v>0.90900000000000003</v>
      </c>
      <c r="R38" s="44"/>
      <c r="T38" s="20"/>
      <c r="U38" s="134" t="str">
        <f>Original!$X$148</f>
        <v>GCC National</v>
      </c>
      <c r="V38" s="135">
        <f>Original!$X$151</f>
        <v>55</v>
      </c>
      <c r="W38" s="31">
        <f>Original!$X$160</f>
        <v>0.98199999999999998</v>
      </c>
      <c r="Z38" s="19"/>
    </row>
    <row r="39" spans="1:33" ht="15.75" customHeight="1" thickBot="1" x14ac:dyDescent="0.25">
      <c r="A39" s="136" t="s">
        <v>257</v>
      </c>
      <c r="B39" s="48">
        <f>Original!F113</f>
        <v>38</v>
      </c>
      <c r="C39" s="49">
        <f>Original!G113</f>
        <v>0.76300000000000001</v>
      </c>
      <c r="D39" s="49">
        <f>Original!H113</f>
        <v>0.158</v>
      </c>
      <c r="E39" s="49">
        <f>Original!I113</f>
        <v>5.2999999999999999E-2</v>
      </c>
      <c r="F39" s="49" t="str">
        <f>Original!J113</f>
        <v xml:space="preserve">- </v>
      </c>
      <c r="G39" s="49">
        <f>Original!K113</f>
        <v>2.5999999999999999E-2</v>
      </c>
      <c r="H39" s="50">
        <f>Original!O113</f>
        <v>0.92100000000000004</v>
      </c>
      <c r="J39" s="90" t="s">
        <v>257</v>
      </c>
      <c r="K39" s="48">
        <f>Original!F112</f>
        <v>515</v>
      </c>
      <c r="L39" s="49">
        <f>Original!G112</f>
        <v>0.76700000000000002</v>
      </c>
      <c r="M39" s="49">
        <f>Original!H112</f>
        <v>0.14199999999999999</v>
      </c>
      <c r="N39" s="49">
        <f>Original!I112</f>
        <v>5.3999999999999999E-2</v>
      </c>
      <c r="O39" s="49">
        <f>Original!J112</f>
        <v>2.1000000000000001E-2</v>
      </c>
      <c r="P39" s="49">
        <f>Original!K112</f>
        <v>1.6E-2</v>
      </c>
      <c r="Q39" s="50">
        <f>Original!O112</f>
        <v>0.90900000000000003</v>
      </c>
      <c r="R39" s="44"/>
      <c r="T39" s="20"/>
      <c r="U39" s="134" t="str">
        <f>Original!$W$148</f>
        <v>UAE National</v>
      </c>
      <c r="V39" s="135">
        <f>Original!$W$151</f>
        <v>1661</v>
      </c>
      <c r="W39" s="31">
        <f>Original!$W$160</f>
        <v>0.93899999999999995</v>
      </c>
      <c r="Z39" s="19"/>
    </row>
    <row r="40" spans="1:33" ht="15.75" customHeight="1" thickBot="1" x14ac:dyDescent="0.25">
      <c r="A40" s="41" t="s">
        <v>266</v>
      </c>
      <c r="B40" s="42" t="str">
        <f>Original!F115</f>
        <v>Base: Who used Customer service center [Excluded NA]</v>
      </c>
      <c r="C40" s="42" t="str">
        <f>Original!G115</f>
        <v>Strongly Agree</v>
      </c>
      <c r="D40" s="42" t="str">
        <f>Original!H115</f>
        <v>Agree</v>
      </c>
      <c r="E40" s="42" t="str">
        <f>Original!I115</f>
        <v>Neutral</v>
      </c>
      <c r="F40" s="42" t="str">
        <f>Original!J115</f>
        <v>Disagree</v>
      </c>
      <c r="G40" s="42" t="str">
        <f>Original!K115</f>
        <v>Strongly Disagree</v>
      </c>
      <c r="H40" s="43">
        <f>AVERAGE(H41:H45)</f>
        <v>0.94159999999999999</v>
      </c>
      <c r="J40" s="176" t="s">
        <v>267</v>
      </c>
      <c r="K40" s="177"/>
      <c r="L40" s="177"/>
      <c r="M40" s="177"/>
      <c r="N40" s="177"/>
      <c r="O40" s="177"/>
      <c r="P40" s="178"/>
      <c r="Q40" s="137">
        <f>AVERAGE(Q25,Q31,Q38)</f>
        <v>0.91707777777777777</v>
      </c>
      <c r="R40" s="44"/>
      <c r="T40" s="20"/>
      <c r="U40" s="134" t="str">
        <f>Original!$AA$148</f>
        <v>Asian Expat</v>
      </c>
      <c r="V40" s="135">
        <f>Original!$AA$151</f>
        <v>555</v>
      </c>
      <c r="W40" s="31">
        <f>Original!$AA$160</f>
        <v>0.93</v>
      </c>
      <c r="Z40" s="19"/>
      <c r="AA40" s="56"/>
    </row>
    <row r="41" spans="1:33" ht="15.75" customHeight="1" x14ac:dyDescent="0.2">
      <c r="A41" s="47" t="s">
        <v>211</v>
      </c>
      <c r="B41" s="48">
        <f>Original!F116</f>
        <v>37</v>
      </c>
      <c r="C41" s="49">
        <f>Original!G116</f>
        <v>0.78400000000000003</v>
      </c>
      <c r="D41" s="49">
        <f>Original!H116</f>
        <v>0.16200000000000001</v>
      </c>
      <c r="E41" s="49">
        <f>Original!I116</f>
        <v>5.3999999999999999E-2</v>
      </c>
      <c r="F41" s="49" t="str">
        <f>Original!J116</f>
        <v xml:space="preserve">- </v>
      </c>
      <c r="G41" s="49" t="str">
        <f>Original!K116</f>
        <v xml:space="preserve">- </v>
      </c>
      <c r="H41" s="50">
        <f>Original!O116</f>
        <v>0.94599999999999995</v>
      </c>
      <c r="R41" s="44"/>
      <c r="T41" s="20"/>
      <c r="U41" s="134" t="str">
        <f>Original!$Z$148</f>
        <v>Arab Expat</v>
      </c>
      <c r="V41" s="135">
        <f>Original!$Z$151</f>
        <v>673</v>
      </c>
      <c r="W41" s="31">
        <f>Original!$Z$160</f>
        <v>0.91500000000000004</v>
      </c>
      <c r="Z41" s="19"/>
      <c r="AA41" s="138"/>
    </row>
    <row r="42" spans="1:33" ht="15.75" customHeight="1" x14ac:dyDescent="0.2">
      <c r="A42" s="47" t="s">
        <v>214</v>
      </c>
      <c r="B42" s="48">
        <f>Original!F117</f>
        <v>33</v>
      </c>
      <c r="C42" s="49">
        <f>Original!G117</f>
        <v>0.84799999999999998</v>
      </c>
      <c r="D42" s="49">
        <f>Original!H117</f>
        <v>0.03</v>
      </c>
      <c r="E42" s="49">
        <f>Original!I117</f>
        <v>9.0999999999999998E-2</v>
      </c>
      <c r="F42" s="49">
        <f>Original!J117</f>
        <v>0.03</v>
      </c>
      <c r="G42" s="49" t="str">
        <f>Original!K117</f>
        <v xml:space="preserve">- </v>
      </c>
      <c r="H42" s="50">
        <f>Original!O117</f>
        <v>0.879</v>
      </c>
      <c r="R42" s="44"/>
      <c r="T42" s="20"/>
      <c r="U42" s="134" t="str">
        <f>Original!$Y$148</f>
        <v>African Expat</v>
      </c>
      <c r="V42" s="135">
        <f>Original!$Y$151</f>
        <v>35</v>
      </c>
      <c r="W42" s="31">
        <f>Original!$Y$160</f>
        <v>0.91400000000000003</v>
      </c>
      <c r="Z42" s="19"/>
    </row>
    <row r="43" spans="1:33" ht="15.75" customHeight="1" thickBot="1" x14ac:dyDescent="0.25">
      <c r="A43" s="47" t="s">
        <v>215</v>
      </c>
      <c r="B43" s="48">
        <f>Original!F118</f>
        <v>36</v>
      </c>
      <c r="C43" s="49">
        <f>Original!G118</f>
        <v>0.88900000000000001</v>
      </c>
      <c r="D43" s="49">
        <f>Original!H118</f>
        <v>8.3000000000000004E-2</v>
      </c>
      <c r="E43" s="49">
        <f>Original!I118</f>
        <v>2.8000000000000001E-2</v>
      </c>
      <c r="F43" s="49" t="str">
        <f>Original!J118</f>
        <v xml:space="preserve">- </v>
      </c>
      <c r="G43" s="49" t="str">
        <f>Original!K118</f>
        <v xml:space="preserve">- </v>
      </c>
      <c r="H43" s="50">
        <f>Original!O118</f>
        <v>0.97199999999999998</v>
      </c>
      <c r="R43" s="44"/>
      <c r="T43" s="20"/>
      <c r="U43" s="128" t="str">
        <f>Original!$AB$148</f>
        <v>Westerner Expat</v>
      </c>
      <c r="V43" s="129">
        <f>Original!$AB$151</f>
        <v>11</v>
      </c>
      <c r="W43" s="59">
        <f>Original!$AB$160</f>
        <v>0.81799999999999995</v>
      </c>
      <c r="Z43" s="12"/>
    </row>
    <row r="44" spans="1:33" ht="15.75" customHeight="1" thickBot="1" x14ac:dyDescent="0.25">
      <c r="A44" s="47" t="s">
        <v>217</v>
      </c>
      <c r="B44" s="48">
        <f>Original!F119</f>
        <v>33</v>
      </c>
      <c r="C44" s="49">
        <f>Original!G119</f>
        <v>0.93899999999999995</v>
      </c>
      <c r="D44" s="49" t="str">
        <f>Original!H119</f>
        <v xml:space="preserve">- </v>
      </c>
      <c r="E44" s="49">
        <f>Original!I119</f>
        <v>0.03</v>
      </c>
      <c r="F44" s="49">
        <f>Original!J119</f>
        <v>0.03</v>
      </c>
      <c r="G44" s="49" t="str">
        <f>Original!K119</f>
        <v xml:space="preserve">- </v>
      </c>
      <c r="H44" s="50">
        <f>Original!O119</f>
        <v>0.93899999999999995</v>
      </c>
      <c r="R44" s="44"/>
      <c r="T44" s="20"/>
      <c r="U44" s="84"/>
      <c r="V44" s="130"/>
      <c r="W44" s="49"/>
      <c r="Z44" s="139"/>
    </row>
    <row r="45" spans="1:33" ht="15.75" customHeight="1" thickBot="1" x14ac:dyDescent="0.25">
      <c r="A45" s="90" t="s">
        <v>219</v>
      </c>
      <c r="B45" s="48">
        <f>Original!F120</f>
        <v>36</v>
      </c>
      <c r="C45" s="49">
        <f>Original!G120</f>
        <v>0.75</v>
      </c>
      <c r="D45" s="49">
        <f>Original!H120</f>
        <v>0.222</v>
      </c>
      <c r="E45" s="49">
        <f>Original!I120</f>
        <v>2.8000000000000001E-2</v>
      </c>
      <c r="F45" s="49" t="str">
        <f>Original!J120</f>
        <v xml:space="preserve">- </v>
      </c>
      <c r="G45" s="49" t="str">
        <f>Original!K120</f>
        <v xml:space="preserve">- </v>
      </c>
      <c r="H45" s="50">
        <f>Original!O120</f>
        <v>0.97199999999999998</v>
      </c>
      <c r="R45" s="44"/>
      <c r="T45" s="96" t="s">
        <v>268</v>
      </c>
      <c r="U45" s="131" t="str">
        <f>Original!$AG$148</f>
        <v>Elder category (over 60 years old)</v>
      </c>
      <c r="V45" s="132">
        <f>Original!$AG$151</f>
        <v>31</v>
      </c>
      <c r="W45" s="133">
        <f>Original!$AG$160</f>
        <v>0.80600000000000005</v>
      </c>
      <c r="Z45" s="19"/>
    </row>
    <row r="46" spans="1:33" ht="15.75" customHeight="1" thickBot="1" x14ac:dyDescent="0.25">
      <c r="A46" s="152" t="s">
        <v>269</v>
      </c>
      <c r="B46" s="153"/>
      <c r="C46" s="153"/>
      <c r="D46" s="153"/>
      <c r="E46" s="153"/>
      <c r="F46" s="153"/>
      <c r="G46" s="154"/>
      <c r="H46" s="140">
        <f>AVERAGE(H40,H38,H31,H25)</f>
        <v>0.92500000000000004</v>
      </c>
      <c r="I46" s="141"/>
      <c r="R46" s="44"/>
      <c r="T46" s="20"/>
      <c r="U46" s="134" t="str">
        <f>Original!$AF$148</f>
        <v>Adult category (from 30 to 60 years old)</v>
      </c>
      <c r="V46" s="135">
        <f>Original!$AF$151</f>
        <v>2403</v>
      </c>
      <c r="W46" s="31">
        <f>Original!$AF$160</f>
        <v>0.93100000000000005</v>
      </c>
      <c r="Y46" s="142"/>
      <c r="Z46" s="19"/>
    </row>
    <row r="47" spans="1:33" ht="15.75" customHeight="1" thickBot="1" x14ac:dyDescent="0.25">
      <c r="A47" s="62"/>
      <c r="C47" s="20"/>
      <c r="D47" s="20"/>
      <c r="E47" s="20"/>
      <c r="F47" s="20"/>
      <c r="G47" s="20"/>
      <c r="H47" s="20"/>
      <c r="R47" s="44"/>
      <c r="T47" s="20"/>
      <c r="U47" s="128" t="str">
        <f>Original!$AE$148</f>
        <v>Youth category (from 18 to 30 years old)</v>
      </c>
      <c r="V47" s="129">
        <f>Original!$AE$151</f>
        <v>567</v>
      </c>
      <c r="W47" s="59">
        <f>Original!$AE$160</f>
        <v>0.94199999999999995</v>
      </c>
      <c r="Z47" s="19"/>
    </row>
    <row r="48" spans="1:33" ht="15.75" customHeight="1" thickBot="1" x14ac:dyDescent="0.25">
      <c r="A48" s="62"/>
      <c r="C48" s="20"/>
      <c r="D48" s="20"/>
      <c r="E48" s="20"/>
      <c r="F48" s="20"/>
      <c r="G48" s="20"/>
      <c r="H48" s="20"/>
      <c r="R48" s="44"/>
      <c r="T48" s="20"/>
      <c r="U48" s="84"/>
      <c r="V48" s="130"/>
      <c r="W48" s="49"/>
      <c r="Z48" s="19"/>
    </row>
    <row r="49" spans="1:26" ht="15.75" customHeight="1" thickBot="1" x14ac:dyDescent="0.25">
      <c r="A49" s="143" t="s">
        <v>270</v>
      </c>
      <c r="B49" s="144" t="s">
        <v>198</v>
      </c>
      <c r="C49" s="144">
        <v>5</v>
      </c>
      <c r="D49" s="144">
        <v>4</v>
      </c>
      <c r="E49" s="144">
        <v>3</v>
      </c>
      <c r="F49" s="144">
        <v>2</v>
      </c>
      <c r="G49" s="144">
        <v>1</v>
      </c>
      <c r="H49" s="145" t="s">
        <v>199</v>
      </c>
      <c r="J49" s="146" t="s">
        <v>271</v>
      </c>
      <c r="K49" s="147" t="s">
        <v>198</v>
      </c>
      <c r="L49" s="147">
        <v>5</v>
      </c>
      <c r="M49" s="147">
        <v>4</v>
      </c>
      <c r="N49" s="147">
        <v>3</v>
      </c>
      <c r="O49" s="147">
        <v>2</v>
      </c>
      <c r="P49" s="147">
        <v>1</v>
      </c>
      <c r="Q49" s="148" t="s">
        <v>199</v>
      </c>
      <c r="R49" s="44"/>
      <c r="T49" s="96" t="s">
        <v>272</v>
      </c>
      <c r="U49" s="131" t="str">
        <f>Original!$BI$148</f>
        <v>Umm Al Quwain</v>
      </c>
      <c r="V49" s="132">
        <f>Original!$BI$151</f>
        <v>327</v>
      </c>
      <c r="W49" s="133">
        <f>Original!$BI$160</f>
        <v>0.94799999999999995</v>
      </c>
      <c r="Z49" s="19"/>
    </row>
    <row r="50" spans="1:26" ht="15.75" customHeight="1" thickBot="1" x14ac:dyDescent="0.25">
      <c r="A50" s="41" t="s">
        <v>273</v>
      </c>
      <c r="B50" s="42" t="str">
        <f>Original!F122</f>
        <v>Base: Email- Who receive a response to his inquiry within 24 hours/ To his complaint within 5 working days</v>
      </c>
      <c r="C50" s="42" t="str">
        <f>Original!G122</f>
        <v>Strongly Agree</v>
      </c>
      <c r="D50" s="42" t="str">
        <f>Original!H122</f>
        <v>Agree</v>
      </c>
      <c r="E50" s="42" t="str">
        <f>Original!I122</f>
        <v>Neutral</v>
      </c>
      <c r="F50" s="42" t="str">
        <f>Original!J122</f>
        <v>Disagree</v>
      </c>
      <c r="G50" s="42" t="str">
        <f>Original!K122</f>
        <v>Strongly Disagree</v>
      </c>
      <c r="H50" s="43">
        <f>AVERAGE(H51:H54)</f>
        <v>0.92225000000000001</v>
      </c>
      <c r="J50" s="41" t="s">
        <v>274</v>
      </c>
      <c r="K50" s="42" t="str">
        <f>Original!F134</f>
        <v>Base: Who used complaint service</v>
      </c>
      <c r="L50" s="42" t="str">
        <f>Original!G134</f>
        <v>Strongly Agree</v>
      </c>
      <c r="M50" s="42" t="str">
        <f>Original!H134</f>
        <v>Agree</v>
      </c>
      <c r="N50" s="42" t="str">
        <f>Original!I134</f>
        <v>Neutral</v>
      </c>
      <c r="O50" s="42" t="str">
        <f>Original!J134</f>
        <v>Disagree</v>
      </c>
      <c r="P50" s="42" t="str">
        <f>Original!K134</f>
        <v>Strongly Disagree</v>
      </c>
      <c r="Q50" s="43">
        <f>AVERAGE(Q51:Q53)</f>
        <v>0.79466666666666674</v>
      </c>
      <c r="R50" s="115"/>
      <c r="T50" s="20"/>
      <c r="U50" s="134" t="str">
        <f>Original!$BH$148</f>
        <v>Fujairah</v>
      </c>
      <c r="V50" s="135">
        <f>Original!$BH$151</f>
        <v>487</v>
      </c>
      <c r="W50" s="31">
        <f>Original!$BH$160</f>
        <v>0.94499999999999995</v>
      </c>
      <c r="Z50" s="19"/>
    </row>
    <row r="51" spans="1:26" ht="15.75" customHeight="1" x14ac:dyDescent="0.2">
      <c r="A51" s="47" t="s">
        <v>275</v>
      </c>
      <c r="B51" s="48">
        <f>Original!F123</f>
        <v>257</v>
      </c>
      <c r="C51" s="49">
        <f>Original!G123</f>
        <v>0.78600000000000003</v>
      </c>
      <c r="D51" s="49">
        <f>Original!H123</f>
        <v>0.14799999999999999</v>
      </c>
      <c r="E51" s="49">
        <f>Original!I123</f>
        <v>4.7E-2</v>
      </c>
      <c r="F51" s="49">
        <f>Original!J123</f>
        <v>8.0000000000000002E-3</v>
      </c>
      <c r="G51" s="49">
        <f>Original!K123</f>
        <v>1.2E-2</v>
      </c>
      <c r="H51" s="50">
        <f>Original!O123</f>
        <v>0.93400000000000005</v>
      </c>
      <c r="J51" s="47" t="s">
        <v>276</v>
      </c>
      <c r="K51" s="48">
        <f>Original!F135</f>
        <v>13</v>
      </c>
      <c r="L51" s="49">
        <f>Original!G135</f>
        <v>0.76900000000000002</v>
      </c>
      <c r="M51" s="49">
        <f>Original!H135</f>
        <v>0.154</v>
      </c>
      <c r="N51" s="49">
        <f>Original!I135</f>
        <v>7.6999999999999999E-2</v>
      </c>
      <c r="O51" s="49" t="str">
        <f>Original!J135</f>
        <v xml:space="preserve">- </v>
      </c>
      <c r="P51" s="49" t="str">
        <f>Original!K135</f>
        <v xml:space="preserve">- </v>
      </c>
      <c r="Q51" s="50">
        <f>Original!O135</f>
        <v>0.92300000000000004</v>
      </c>
      <c r="R51" s="19"/>
      <c r="T51" s="20"/>
      <c r="U51" s="134" t="str">
        <f>Original!$BG$148</f>
        <v>Ras Al Khaimah</v>
      </c>
      <c r="V51" s="135">
        <f>Original!$BG$151</f>
        <v>137</v>
      </c>
      <c r="W51" s="31">
        <f>Original!$BG$160</f>
        <v>0.94199999999999995</v>
      </c>
      <c r="Z51" s="19"/>
    </row>
    <row r="52" spans="1:26" ht="15.75" customHeight="1" x14ac:dyDescent="0.2">
      <c r="A52" s="47" t="s">
        <v>277</v>
      </c>
      <c r="B52" s="48">
        <f>Original!F125</f>
        <v>257</v>
      </c>
      <c r="C52" s="49">
        <f>Original!G125</f>
        <v>0.73199999999999998</v>
      </c>
      <c r="D52" s="49">
        <f>Original!H125</f>
        <v>0.125</v>
      </c>
      <c r="E52" s="49">
        <f>Original!I125</f>
        <v>5.3999999999999999E-2</v>
      </c>
      <c r="F52" s="49">
        <f>Original!J125</f>
        <v>3.1E-2</v>
      </c>
      <c r="G52" s="49">
        <f>Original!K125</f>
        <v>5.8000000000000003E-2</v>
      </c>
      <c r="H52" s="50">
        <f>Original!O125</f>
        <v>0.85599999999999998</v>
      </c>
      <c r="J52" s="47" t="s">
        <v>278</v>
      </c>
      <c r="K52" s="48">
        <f>Original!F136</f>
        <v>13</v>
      </c>
      <c r="L52" s="49">
        <f>Original!G136</f>
        <v>0.53800000000000003</v>
      </c>
      <c r="M52" s="49">
        <f>Original!H136</f>
        <v>0.308</v>
      </c>
      <c r="N52" s="49">
        <f>Original!I136</f>
        <v>7.6999999999999999E-2</v>
      </c>
      <c r="O52" s="49" t="str">
        <f>Original!J136</f>
        <v xml:space="preserve">- </v>
      </c>
      <c r="P52" s="49">
        <f>Original!K136</f>
        <v>7.6999999999999999E-2</v>
      </c>
      <c r="Q52" s="50">
        <f>Original!O136</f>
        <v>0.84599999999999997</v>
      </c>
      <c r="R52" s="19"/>
      <c r="T52" s="20"/>
      <c r="U52" s="134" t="str">
        <f>Original!$BE$148</f>
        <v>Sharjah</v>
      </c>
      <c r="V52" s="135">
        <f>Original!$BE$151</f>
        <v>1064</v>
      </c>
      <c r="W52" s="31">
        <f>Original!$BE$160</f>
        <v>0.93899999999999995</v>
      </c>
      <c r="Z52" s="19"/>
    </row>
    <row r="53" spans="1:26" ht="15.75" customHeight="1" thickBot="1" x14ac:dyDescent="0.25">
      <c r="A53" s="47" t="s">
        <v>279</v>
      </c>
      <c r="B53" s="48">
        <f>Original!F127</f>
        <v>257</v>
      </c>
      <c r="C53" s="49">
        <f>Original!G127</f>
        <v>0.83699999999999997</v>
      </c>
      <c r="D53" s="49">
        <f>Original!H127</f>
        <v>0.105</v>
      </c>
      <c r="E53" s="49">
        <f>Original!I127</f>
        <v>3.5000000000000003E-2</v>
      </c>
      <c r="F53" s="49">
        <f>Original!J127</f>
        <v>1.2E-2</v>
      </c>
      <c r="G53" s="49">
        <f>Original!K127</f>
        <v>1.2E-2</v>
      </c>
      <c r="H53" s="50">
        <f>Original!O127</f>
        <v>0.94199999999999995</v>
      </c>
      <c r="J53" s="90" t="s">
        <v>280</v>
      </c>
      <c r="K53" s="48">
        <f>Original!F138</f>
        <v>13</v>
      </c>
      <c r="L53" s="49">
        <f>Original!G138</f>
        <v>0.38500000000000001</v>
      </c>
      <c r="M53" s="49">
        <f>Original!H138</f>
        <v>0.23100000000000001</v>
      </c>
      <c r="N53" s="49">
        <f>Original!I138</f>
        <v>7.6999999999999999E-2</v>
      </c>
      <c r="O53" s="49">
        <f>Original!J138</f>
        <v>0.23100000000000001</v>
      </c>
      <c r="P53" s="49">
        <f>Original!K138</f>
        <v>7.6999999999999999E-2</v>
      </c>
      <c r="Q53" s="50">
        <f>Original!O138</f>
        <v>0.61499999999999999</v>
      </c>
      <c r="R53" s="19"/>
      <c r="T53" s="20"/>
      <c r="U53" s="134" t="str">
        <f>Original!$BF$148</f>
        <v>Ajman</v>
      </c>
      <c r="V53" s="135">
        <f>Original!$BF$151</f>
        <v>439</v>
      </c>
      <c r="W53" s="31">
        <f>Original!$BF$160</f>
        <v>0.92</v>
      </c>
      <c r="Z53" s="19"/>
    </row>
    <row r="54" spans="1:26" ht="15.75" customHeight="1" thickBot="1" x14ac:dyDescent="0.25">
      <c r="A54" s="47" t="s">
        <v>281</v>
      </c>
      <c r="B54" s="48">
        <f>Original!F129</f>
        <v>257</v>
      </c>
      <c r="C54" s="49">
        <f>Original!G129</f>
        <v>0.86</v>
      </c>
      <c r="D54" s="49">
        <f>Original!H129</f>
        <v>9.7000000000000003E-2</v>
      </c>
      <c r="E54" s="49">
        <f>Original!I129</f>
        <v>2.7E-2</v>
      </c>
      <c r="F54" s="49" t="str">
        <f>Original!J129</f>
        <v xml:space="preserve">- </v>
      </c>
      <c r="G54" s="49">
        <f>Original!K129</f>
        <v>1.6E-2</v>
      </c>
      <c r="H54" s="50">
        <f>Original!O129</f>
        <v>0.95699999999999996</v>
      </c>
      <c r="J54" s="155" t="s">
        <v>282</v>
      </c>
      <c r="K54" s="156"/>
      <c r="L54" s="156"/>
      <c r="M54" s="156"/>
      <c r="N54" s="156"/>
      <c r="O54" s="156"/>
      <c r="P54" s="157"/>
      <c r="Q54" s="149">
        <f>AVERAGE(Q51:Q53)</f>
        <v>0.79466666666666674</v>
      </c>
      <c r="R54" s="19"/>
      <c r="T54" s="20"/>
      <c r="U54" s="134" t="str">
        <f>Original!$BD$148</f>
        <v>Dubai</v>
      </c>
      <c r="V54" s="135">
        <f>Original!$BD$151</f>
        <v>371</v>
      </c>
      <c r="W54" s="31">
        <f>Original!$BD$160</f>
        <v>0.91100000000000003</v>
      </c>
      <c r="Z54" s="19"/>
    </row>
    <row r="55" spans="1:26" ht="15.75" customHeight="1" thickBot="1" x14ac:dyDescent="0.25">
      <c r="A55" s="41" t="s">
        <v>283</v>
      </c>
      <c r="B55" s="42" t="str">
        <f>Original!C132</f>
        <v>Email</v>
      </c>
      <c r="C55" s="42" t="str">
        <f>Original!G131</f>
        <v>Very Happy</v>
      </c>
      <c r="D55" s="42" t="str">
        <f>Original!H131</f>
        <v>Happy</v>
      </c>
      <c r="E55" s="42" t="str">
        <f>Original!I131</f>
        <v>Neutral</v>
      </c>
      <c r="F55" s="42" t="str">
        <f>Original!J131</f>
        <v>Unhappy</v>
      </c>
      <c r="G55" s="42" t="str">
        <f>Original!K131</f>
        <v>Very Unhappy</v>
      </c>
      <c r="H55" s="43">
        <f>AVERAGE(H56)</f>
        <v>0.81899999999999995</v>
      </c>
      <c r="Q55" s="68"/>
      <c r="R55" s="19"/>
      <c r="T55" s="20"/>
      <c r="U55" s="128" t="str">
        <f>Original!$BC$148</f>
        <v>Abu Dhabi</v>
      </c>
      <c r="V55" s="129">
        <f>Original!$BC$151</f>
        <v>176</v>
      </c>
      <c r="W55" s="59">
        <f>Original!$BC$160</f>
        <v>0.89200000000000002</v>
      </c>
      <c r="Z55" s="19"/>
    </row>
    <row r="56" spans="1:26" ht="15.75" customHeight="1" thickBot="1" x14ac:dyDescent="0.25">
      <c r="A56" s="90" t="s">
        <v>283</v>
      </c>
      <c r="B56" s="48">
        <f>Original!F132</f>
        <v>281</v>
      </c>
      <c r="C56" s="49">
        <f>Original!G132</f>
        <v>0.67300000000000004</v>
      </c>
      <c r="D56" s="49">
        <f>Original!H132</f>
        <v>0.14599999999999999</v>
      </c>
      <c r="E56" s="49">
        <f>Original!I132</f>
        <v>8.2000000000000003E-2</v>
      </c>
      <c r="F56" s="49">
        <f>Original!J132</f>
        <v>2.1000000000000001E-2</v>
      </c>
      <c r="G56" s="49">
        <f>Original!K132</f>
        <v>7.8E-2</v>
      </c>
      <c r="H56" s="50">
        <f>Original!O132</f>
        <v>0.81899999999999995</v>
      </c>
      <c r="Q56" s="68"/>
      <c r="R56" s="19"/>
      <c r="Z56" s="19"/>
    </row>
    <row r="57" spans="1:26" ht="15.75" customHeight="1" thickBot="1" x14ac:dyDescent="0.25">
      <c r="A57" s="158" t="s">
        <v>284</v>
      </c>
      <c r="B57" s="159"/>
      <c r="C57" s="159"/>
      <c r="D57" s="159"/>
      <c r="E57" s="159"/>
      <c r="F57" s="159"/>
      <c r="G57" s="160"/>
      <c r="H57" s="150">
        <f>AVERAGE(H55,H50)</f>
        <v>0.87062499999999998</v>
      </c>
      <c r="I57" s="124"/>
      <c r="J57" s="124"/>
      <c r="K57" s="124"/>
      <c r="L57" s="124"/>
      <c r="M57" s="124"/>
      <c r="N57" s="124"/>
      <c r="O57" s="124"/>
      <c r="P57" s="124"/>
      <c r="Q57" s="125"/>
      <c r="R57" s="19"/>
      <c r="Z57" s="19"/>
    </row>
    <row r="58" spans="1:26" ht="15.75" customHeight="1" x14ac:dyDescent="0.2">
      <c r="R58" s="19"/>
      <c r="Z58" s="19"/>
    </row>
    <row r="59" spans="1:26" ht="15.75" customHeight="1" x14ac:dyDescent="0.2">
      <c r="R59" s="28"/>
      <c r="Z59" s="19"/>
    </row>
    <row r="60" spans="1:26" ht="15.75" customHeight="1" x14ac:dyDescent="0.2">
      <c r="B60" s="84"/>
      <c r="C60" s="84"/>
      <c r="D60" s="20"/>
      <c r="E60" s="84"/>
      <c r="F60" s="84"/>
      <c r="G60" s="20"/>
      <c r="R60" s="44"/>
      <c r="Z60" s="19"/>
    </row>
    <row r="61" spans="1:26" ht="15.75" customHeight="1" x14ac:dyDescent="0.2">
      <c r="B61" s="84"/>
      <c r="C61" s="84"/>
      <c r="D61" s="84"/>
      <c r="E61" s="20"/>
      <c r="F61" s="84"/>
      <c r="G61" s="20"/>
      <c r="R61" s="44"/>
      <c r="Z61" s="19"/>
    </row>
    <row r="62" spans="1:26" ht="15.75" customHeight="1" x14ac:dyDescent="0.2">
      <c r="B62" s="84"/>
      <c r="C62" s="84"/>
      <c r="D62" s="84"/>
      <c r="E62" s="84"/>
      <c r="F62" s="20"/>
      <c r="G62" s="20"/>
      <c r="L62" s="49"/>
      <c r="M62" s="49"/>
      <c r="N62" s="49"/>
      <c r="O62" s="49"/>
      <c r="P62" s="49"/>
      <c r="R62" s="44"/>
      <c r="Z62" s="19"/>
    </row>
    <row r="63" spans="1:26" ht="15.75" customHeight="1" x14ac:dyDescent="0.2">
      <c r="B63" s="84"/>
      <c r="C63" s="84"/>
      <c r="D63" s="84"/>
      <c r="E63" s="20"/>
      <c r="F63" s="84"/>
      <c r="G63" s="20"/>
      <c r="L63" s="66"/>
      <c r="M63" s="66"/>
      <c r="N63" s="66"/>
      <c r="O63" s="66"/>
      <c r="P63" s="66"/>
      <c r="Q63" s="66"/>
      <c r="R63" s="44"/>
      <c r="Z63" s="19"/>
    </row>
    <row r="64" spans="1:26" ht="15.75" customHeight="1" x14ac:dyDescent="0.2">
      <c r="B64" s="84"/>
      <c r="C64" s="84"/>
      <c r="D64" s="84"/>
      <c r="E64" s="20"/>
      <c r="F64" s="84"/>
      <c r="G64" s="20"/>
      <c r="L64" s="66"/>
      <c r="M64" s="66"/>
      <c r="N64" s="66"/>
      <c r="O64" s="66"/>
      <c r="P64" s="66"/>
      <c r="Q64" s="66"/>
      <c r="R64" s="44"/>
      <c r="Z64" s="19"/>
    </row>
    <row r="65" spans="2:26" ht="15.75" customHeight="1" x14ac:dyDescent="0.2">
      <c r="B65" s="84"/>
      <c r="C65" s="84"/>
      <c r="D65" s="84"/>
      <c r="E65" s="84"/>
      <c r="F65" s="84"/>
      <c r="G65" s="20"/>
      <c r="L65" s="66"/>
      <c r="M65" s="66"/>
      <c r="N65" s="66"/>
      <c r="O65" s="66"/>
      <c r="P65" s="66"/>
      <c r="Q65" s="66"/>
      <c r="R65" s="115"/>
      <c r="Z65" s="19"/>
    </row>
    <row r="66" spans="2:26" ht="15.75" customHeight="1" x14ac:dyDescent="0.2">
      <c r="B66" s="84"/>
      <c r="C66" s="84"/>
      <c r="D66" s="84"/>
      <c r="E66" s="84"/>
      <c r="F66" s="20"/>
      <c r="G66" s="20"/>
      <c r="L66" s="66"/>
      <c r="M66" s="66"/>
      <c r="N66" s="66"/>
      <c r="O66" s="66"/>
      <c r="P66" s="66"/>
      <c r="R66" s="19"/>
      <c r="Z66" s="19"/>
    </row>
    <row r="67" spans="2:26" ht="15.75" customHeight="1" x14ac:dyDescent="0.2">
      <c r="B67" s="84"/>
      <c r="C67" s="84"/>
      <c r="D67" s="20"/>
      <c r="E67" s="84"/>
      <c r="F67" s="84"/>
      <c r="G67" s="20"/>
      <c r="R67" s="19"/>
      <c r="Z67" s="19"/>
    </row>
    <row r="68" spans="2:26" ht="15.75" customHeight="1" x14ac:dyDescent="0.2">
      <c r="B68" s="84"/>
      <c r="C68" s="84"/>
      <c r="D68" s="84"/>
      <c r="E68" s="20"/>
      <c r="F68" s="20"/>
      <c r="G68" s="20"/>
      <c r="R68" s="19"/>
      <c r="Z68" s="19"/>
    </row>
    <row r="69" spans="2:26" ht="15.75" customHeight="1" x14ac:dyDescent="0.2">
      <c r="B69" s="84"/>
      <c r="C69" s="84"/>
      <c r="D69" s="84"/>
      <c r="E69" s="20"/>
      <c r="F69" s="84"/>
      <c r="G69" s="20"/>
      <c r="R69" s="19"/>
      <c r="Z69" s="19"/>
    </row>
    <row r="70" spans="2:26" ht="15.75" customHeight="1" x14ac:dyDescent="0.2">
      <c r="B70" s="84"/>
      <c r="C70" s="84"/>
      <c r="D70" s="84"/>
      <c r="E70" s="20"/>
      <c r="F70" s="84"/>
      <c r="G70" s="20"/>
      <c r="R70" s="19"/>
      <c r="Z70" s="19"/>
    </row>
    <row r="71" spans="2:26" ht="15.75" customHeight="1" x14ac:dyDescent="0.2">
      <c r="B71" s="84"/>
      <c r="C71" s="84"/>
      <c r="D71" s="84"/>
      <c r="E71" s="84"/>
      <c r="F71" s="84"/>
      <c r="G71" s="20"/>
      <c r="R71" s="19"/>
      <c r="Z71" s="19"/>
    </row>
    <row r="72" spans="2:26" ht="15.75" customHeight="1" x14ac:dyDescent="0.2">
      <c r="B72" s="84"/>
      <c r="C72" s="84"/>
      <c r="D72" s="84"/>
      <c r="E72" s="84"/>
      <c r="F72" s="84"/>
      <c r="G72" s="20"/>
      <c r="R72" s="19"/>
      <c r="Z72" s="19"/>
    </row>
    <row r="73" spans="2:26" ht="15.75" customHeight="1" x14ac:dyDescent="0.2">
      <c r="B73" s="84"/>
      <c r="C73" s="84"/>
      <c r="D73" s="84"/>
      <c r="E73" s="84"/>
      <c r="F73" s="84"/>
      <c r="G73" s="20"/>
      <c r="R73" s="19"/>
      <c r="Z73" s="19"/>
    </row>
    <row r="74" spans="2:26" ht="15.75" customHeight="1" x14ac:dyDescent="0.2">
      <c r="B74" s="84"/>
      <c r="C74" s="84"/>
      <c r="D74" s="84"/>
      <c r="E74" s="20"/>
      <c r="F74" s="84"/>
      <c r="G74" s="20"/>
      <c r="R74" s="19"/>
      <c r="Z74" s="19"/>
    </row>
    <row r="75" spans="2:26" ht="15.75" customHeight="1" x14ac:dyDescent="0.2">
      <c r="G75" s="20"/>
      <c r="R75" s="19"/>
      <c r="Z75" s="19"/>
    </row>
    <row r="76" spans="2:26" ht="15.75" customHeight="1" x14ac:dyDescent="0.2">
      <c r="R76" s="19"/>
      <c r="Z76" s="19"/>
    </row>
  </sheetData>
  <autoFilter ref="U48:W55" xr:uid="{97C180F4-52EC-474B-A853-E2A791FCC8A3}">
    <sortState xmlns:xlrd2="http://schemas.microsoft.com/office/spreadsheetml/2017/richdata2" ref="U49:W55">
      <sortCondition descending="1" ref="W48:W55"/>
    </sortState>
  </autoFilter>
  <mergeCells count="9">
    <mergeCell ref="A46:G46"/>
    <mergeCell ref="J54:P54"/>
    <mergeCell ref="A57:G57"/>
    <mergeCell ref="A1:Q1"/>
    <mergeCell ref="AA1:AG1"/>
    <mergeCell ref="T10:U10"/>
    <mergeCell ref="A21:G21"/>
    <mergeCell ref="J21:P21"/>
    <mergeCell ref="J40:P40"/>
  </mergeCells>
  <conditionalFormatting sqref="L1:P57 C1:G1048576 L59:P1048576">
    <cfRule type="cellIs" dxfId="72" priority="44" operator="between">
      <formula>0.000001</formula>
      <formula>0.0049</formula>
    </cfRule>
  </conditionalFormatting>
  <conditionalFormatting sqref="S26:S30">
    <cfRule type="cellIs" dxfId="71" priority="22" operator="greaterThan">
      <formula>0.9</formula>
    </cfRule>
    <cfRule type="cellIs" dxfId="70" priority="23" operator="lessThan">
      <formula>0.85</formula>
    </cfRule>
    <cfRule type="cellIs" dxfId="69" priority="20" operator="greaterThan">
      <formula>0.895</formula>
    </cfRule>
    <cfRule type="cellIs" dxfId="68" priority="21" operator="between">
      <formula>0.85</formula>
      <formula>0.8945</formula>
    </cfRule>
  </conditionalFormatting>
  <conditionalFormatting sqref="U2:U6">
    <cfRule type="cellIs" dxfId="67" priority="39" operator="lessThan">
      <formula>0.85</formula>
    </cfRule>
    <cfRule type="cellIs" dxfId="66" priority="38" operator="greaterThan">
      <formula>0.9</formula>
    </cfRule>
    <cfRule type="cellIs" dxfId="65" priority="37" operator="between">
      <formula>0.85</formula>
      <formula>0.8945</formula>
    </cfRule>
    <cfRule type="cellIs" dxfId="64" priority="36" operator="greaterThan">
      <formula>0.895</formula>
    </cfRule>
  </conditionalFormatting>
  <conditionalFormatting sqref="U8">
    <cfRule type="cellIs" dxfId="63" priority="31" operator="lessThan">
      <formula>0.85</formula>
    </cfRule>
    <cfRule type="cellIs" dxfId="62" priority="30" operator="greaterThan">
      <formula>0.9</formula>
    </cfRule>
    <cfRule type="cellIs" dxfId="61" priority="29" operator="between">
      <formula>0.85</formula>
      <formula>0.8945</formula>
    </cfRule>
    <cfRule type="cellIs" dxfId="60" priority="28" operator="greaterThan">
      <formula>0.895</formula>
    </cfRule>
  </conditionalFormatting>
  <conditionalFormatting sqref="W34:W35">
    <cfRule type="cellIs" dxfId="59" priority="16" operator="greaterThan">
      <formula>0.895</formula>
    </cfRule>
    <cfRule type="cellIs" dxfId="58" priority="17" operator="between">
      <formula>0.85</formula>
      <formula>0.8945</formula>
    </cfRule>
    <cfRule type="cellIs" dxfId="57" priority="18" operator="greaterThan">
      <formula>0.9</formula>
    </cfRule>
    <cfRule type="cellIs" dxfId="56" priority="19" operator="lessThan">
      <formula>0.85</formula>
    </cfRule>
  </conditionalFormatting>
  <conditionalFormatting sqref="W37:W43">
    <cfRule type="cellIs" dxfId="55" priority="12" operator="greaterThan">
      <formula>0.895</formula>
    </cfRule>
    <cfRule type="cellIs" dxfId="54" priority="13" operator="between">
      <formula>0.85</formula>
      <formula>0.8945</formula>
    </cfRule>
    <cfRule type="cellIs" dxfId="53" priority="14" operator="greaterThan">
      <formula>0.9</formula>
    </cfRule>
    <cfRule type="cellIs" dxfId="52" priority="15" operator="lessThan">
      <formula>0.85</formula>
    </cfRule>
  </conditionalFormatting>
  <conditionalFormatting sqref="W45:W47">
    <cfRule type="cellIs" dxfId="51" priority="8" operator="greaterThan">
      <formula>0.895</formula>
    </cfRule>
    <cfRule type="cellIs" dxfId="50" priority="9" operator="between">
      <formula>0.85</formula>
      <formula>0.8945</formula>
    </cfRule>
    <cfRule type="cellIs" dxfId="49" priority="11" operator="lessThan">
      <formula>0.85</formula>
    </cfRule>
    <cfRule type="cellIs" dxfId="48" priority="10" operator="greaterThan">
      <formula>0.9</formula>
    </cfRule>
  </conditionalFormatting>
  <conditionalFormatting sqref="W49:W55">
    <cfRule type="cellIs" dxfId="47" priority="7" operator="lessThan">
      <formula>0.85</formula>
    </cfRule>
    <cfRule type="cellIs" dxfId="46" priority="6" operator="greaterThan">
      <formula>0.9</formula>
    </cfRule>
    <cfRule type="cellIs" dxfId="45" priority="5" operator="between">
      <formula>0.85</formula>
      <formula>0.8945</formula>
    </cfRule>
    <cfRule type="cellIs" dxfId="44" priority="4" operator="greaterThan">
      <formula>0.895</formula>
    </cfRule>
  </conditionalFormatting>
  <conditionalFormatting sqref="X2:Y6">
    <cfRule type="cellIs" dxfId="43" priority="32" operator="greaterThan">
      <formula>0.895</formula>
    </cfRule>
    <cfRule type="cellIs" dxfId="42" priority="33" operator="between">
      <formula>0.85</formula>
      <formula>0.8945</formula>
    </cfRule>
    <cfRule type="cellIs" dxfId="41" priority="34" operator="greaterThan">
      <formula>0.9</formula>
    </cfRule>
    <cfRule type="cellIs" dxfId="40" priority="35" operator="lessThan">
      <formula>0.85</formula>
    </cfRule>
  </conditionalFormatting>
  <conditionalFormatting sqref="X8:Y8">
    <cfRule type="cellIs" dxfId="39" priority="24" operator="greaterThan">
      <formula>0.895</formula>
    </cfRule>
    <cfRule type="cellIs" dxfId="38" priority="25" operator="between">
      <formula>0.85</formula>
      <formula>0.8945</formula>
    </cfRule>
    <cfRule type="cellIs" dxfId="37" priority="26" operator="greaterThan">
      <formula>0.9</formula>
    </cfRule>
    <cfRule type="cellIs" dxfId="36" priority="27" operator="lessThan">
      <formula>0.85</formula>
    </cfRule>
  </conditionalFormatting>
  <conditionalFormatting sqref="AA1:AA1048576">
    <cfRule type="duplicateValues" dxfId="35" priority="2"/>
  </conditionalFormatting>
  <conditionalFormatting sqref="AA4:AA5">
    <cfRule type="duplicateValues" dxfId="34" priority="3"/>
  </conditionalFormatting>
  <conditionalFormatting sqref="AB3">
    <cfRule type="cellIs" dxfId="33" priority="59" operator="greaterThan">
      <formula>0.9</formula>
    </cfRule>
    <cfRule type="cellIs" dxfId="32" priority="60" operator="lessThan">
      <formula>0.85</formula>
    </cfRule>
    <cfRule type="cellIs" dxfId="31" priority="57" operator="greaterThan">
      <formula>0.895</formula>
    </cfRule>
    <cfRule type="cellIs" dxfId="30" priority="58" operator="between">
      <formula>0.85</formula>
      <formula>0.8945</formula>
    </cfRule>
  </conditionalFormatting>
  <conditionalFormatting sqref="AB11">
    <cfRule type="cellIs" dxfId="29" priority="53" operator="greaterThan">
      <formula>0.895</formula>
    </cfRule>
    <cfRule type="cellIs" dxfId="28" priority="54" operator="between">
      <formula>0.85</formula>
      <formula>0.8945</formula>
    </cfRule>
    <cfRule type="cellIs" dxfId="27" priority="55" operator="greaterThan">
      <formula>0.9</formula>
    </cfRule>
    <cfRule type="cellIs" dxfId="26" priority="56" operator="lessThan">
      <formula>0.85</formula>
    </cfRule>
  </conditionalFormatting>
  <conditionalFormatting sqref="AB24">
    <cfRule type="cellIs" dxfId="25" priority="49" operator="greaterThan">
      <formula>0.895</formula>
    </cfRule>
    <cfRule type="cellIs" dxfId="24" priority="50" operator="between">
      <formula>0.85</formula>
      <formula>0.8945</formula>
    </cfRule>
    <cfRule type="cellIs" dxfId="23" priority="51" operator="greaterThan">
      <formula>0.9</formula>
    </cfRule>
    <cfRule type="cellIs" dxfId="22" priority="52" operator="lessThan">
      <formula>0.85</formula>
    </cfRule>
  </conditionalFormatting>
  <conditionalFormatting sqref="AB30">
    <cfRule type="cellIs" dxfId="21" priority="45" operator="greaterThan">
      <formula>0.895</formula>
    </cfRule>
    <cfRule type="cellIs" dxfId="20" priority="46" operator="between">
      <formula>0.85</formula>
      <formula>0.8945</formula>
    </cfRule>
    <cfRule type="cellIs" dxfId="19" priority="47" operator="greaterThan">
      <formula>0.9</formula>
    </cfRule>
    <cfRule type="cellIs" dxfId="18" priority="48" operator="lessThan">
      <formula>0.85</formula>
    </cfRule>
  </conditionalFormatting>
  <conditionalFormatting sqref="AC3:AD5 H3:H21 Q3:Q21 U11:X14 AC11:AD16 AG11:AG20 Q25:Q40 H25:H46 AG30:AG32 AC30:AD33 Q50:Q54 H50:H57">
    <cfRule type="cellIs" dxfId="17" priority="70" operator="between">
      <formula>0.85</formula>
      <formula>0.8945</formula>
    </cfRule>
    <cfRule type="cellIs" dxfId="16" priority="69" operator="greaterThan">
      <formula>0.895</formula>
    </cfRule>
    <cfRule type="cellIs" dxfId="15" priority="72" operator="lessThan">
      <formula>0.85</formula>
    </cfRule>
    <cfRule type="cellIs" dxfId="14" priority="71" operator="greaterThan">
      <formula>0.9</formula>
    </cfRule>
  </conditionalFormatting>
  <conditionalFormatting sqref="AC24:AD27">
    <cfRule type="cellIs" dxfId="13" priority="65" operator="greaterThan">
      <formula>0.895</formula>
    </cfRule>
    <cfRule type="cellIs" dxfId="12" priority="68" operator="lessThan">
      <formula>0.85</formula>
    </cfRule>
    <cfRule type="cellIs" dxfId="11" priority="67" operator="greaterThan">
      <formula>0.9</formula>
    </cfRule>
    <cfRule type="cellIs" dxfId="10" priority="66" operator="between">
      <formula>0.85</formula>
      <formula>0.8945</formula>
    </cfRule>
  </conditionalFormatting>
  <conditionalFormatting sqref="AF1 AF30:AF1048576 AF24:AF28 AF11:AF22 AF3:AF9">
    <cfRule type="duplicateValues" dxfId="9" priority="1"/>
  </conditionalFormatting>
  <conditionalFormatting sqref="AF12:AF20">
    <cfRule type="duplicateValues" dxfId="8" priority="73"/>
  </conditionalFormatting>
  <conditionalFormatting sqref="AG3:AG8">
    <cfRule type="cellIs" dxfId="7" priority="43" operator="lessThan">
      <formula>0.85</formula>
    </cfRule>
    <cfRule type="cellIs" dxfId="6" priority="42" operator="greaterThan">
      <formula>0.9</formula>
    </cfRule>
    <cfRule type="cellIs" dxfId="5" priority="41" operator="between">
      <formula>0.85</formula>
      <formula>0.8945</formula>
    </cfRule>
    <cfRule type="cellIs" dxfId="4" priority="40" operator="greaterThan">
      <formula>0.895</formula>
    </cfRule>
  </conditionalFormatting>
  <conditionalFormatting sqref="AG24:AG26">
    <cfRule type="cellIs" dxfId="3" priority="64" operator="lessThan">
      <formula>0.85</formula>
    </cfRule>
    <cfRule type="cellIs" dxfId="2" priority="63" operator="greaterThan">
      <formula>0.9</formula>
    </cfRule>
    <cfRule type="cellIs" dxfId="1" priority="62" operator="between">
      <formula>0.85</formula>
      <formula>0.8945</formula>
    </cfRule>
    <cfRule type="cellIs" dxfId="0" priority="61" operator="greaterThan">
      <formula>0.895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508E-26C3-41DC-9DF9-69A1334B6F42}">
  <dimension ref="A1:D12"/>
  <sheetViews>
    <sheetView workbookViewId="0"/>
  </sheetViews>
  <sheetFormatPr baseColWidth="10" defaultColWidth="8.83203125" defaultRowHeight="15" x14ac:dyDescent="0.2"/>
  <cols>
    <col min="1" max="1" width="57.1640625" bestFit="1" customWidth="1"/>
    <col min="2" max="2" width="57.1640625" customWidth="1"/>
  </cols>
  <sheetData>
    <row r="1" spans="1:4" x14ac:dyDescent="0.2">
      <c r="A1" t="s">
        <v>285</v>
      </c>
      <c r="C1" t="s">
        <v>198</v>
      </c>
      <c r="D1" t="s">
        <v>199</v>
      </c>
    </row>
    <row r="2" spans="1:4" x14ac:dyDescent="0.2">
      <c r="A2" t="s">
        <v>286</v>
      </c>
      <c r="B2" t="str">
        <f>VLOOKUP(A2,[1]Sheet2!$D$2:$E$193,2,0)</f>
        <v>تقييم المهني الصحي</v>
      </c>
      <c r="C2">
        <v>10</v>
      </c>
      <c r="D2" s="3">
        <v>1</v>
      </c>
    </row>
    <row r="3" spans="1:4" x14ac:dyDescent="0.2">
      <c r="A3" t="s">
        <v>287</v>
      </c>
      <c r="B3" t="str">
        <f>VLOOKUP(A3,[1]Sheet2!$D$2:$E$193,2,0)</f>
        <v>إصدار ترخيص/ تجديد ترخيص إعلان صحي</v>
      </c>
      <c r="C3">
        <v>7</v>
      </c>
      <c r="D3" s="3">
        <v>1</v>
      </c>
    </row>
    <row r="4" spans="1:4" x14ac:dyDescent="0.2">
      <c r="A4" t="s">
        <v>288</v>
      </c>
      <c r="B4" t="str">
        <f>VLOOKUP(A4,[1]Sheet2!$D$2:$E$193,2,0)</f>
        <v>ترخيص مؤسسة صيدلانية</v>
      </c>
      <c r="C4">
        <v>5</v>
      </c>
      <c r="D4" s="3">
        <v>1</v>
      </c>
    </row>
    <row r="5" spans="1:4" x14ac:dyDescent="0.2">
      <c r="A5" t="s">
        <v>289</v>
      </c>
      <c r="B5" t="str">
        <f>VLOOKUP(A5,[1]Sheet2!$D$2:$E$193,2,0)</f>
        <v>تعديل ترخيص مؤسسة صيدلانية</v>
      </c>
      <c r="C5">
        <v>4</v>
      </c>
      <c r="D5" s="3">
        <v>1</v>
      </c>
    </row>
    <row r="6" spans="1:4" x14ac:dyDescent="0.2">
      <c r="A6" t="s">
        <v>290</v>
      </c>
      <c r="B6" t="str">
        <f>VLOOKUP(A6,[1]Sheet2!$D$2:$E$193,2,0)</f>
        <v>ترخيص مزاولة مهنة الصيدلة</v>
      </c>
      <c r="C6">
        <v>4</v>
      </c>
      <c r="D6" s="3">
        <v>1</v>
      </c>
    </row>
    <row r="7" spans="1:4" x14ac:dyDescent="0.2">
      <c r="A7" t="s">
        <v>291</v>
      </c>
      <c r="B7" t="str">
        <f>VLOOKUP(A7,[1]Sheet2!$D$2:$E$193,2,0)</f>
        <v>إصدار / إلغاء تصريح صيدلية للتوصيل إلى المنزل</v>
      </c>
      <c r="C7">
        <v>1</v>
      </c>
      <c r="D7" s="3">
        <v>1</v>
      </c>
    </row>
    <row r="8" spans="1:4" x14ac:dyDescent="0.2">
      <c r="A8" t="s">
        <v>292</v>
      </c>
      <c r="B8" t="str">
        <f>VLOOKUP(A8,[1]Sheet2!$D$2:$E$193,2,0)</f>
        <v>الغاء الترخيص بمزاولة مهنة الصيدلة</v>
      </c>
      <c r="C8">
        <v>1</v>
      </c>
      <c r="D8" s="151">
        <v>1</v>
      </c>
    </row>
    <row r="9" spans="1:4" x14ac:dyDescent="0.2">
      <c r="A9" t="s">
        <v>293</v>
      </c>
      <c r="B9" t="str">
        <f>VLOOKUP(A9,[1]Sheet2!$D$2:$E$193,2,0)</f>
        <v>اعتماد الاجازات المرضية وإجازة المرافق</v>
      </c>
      <c r="C9">
        <v>107</v>
      </c>
      <c r="D9" s="151">
        <v>0.97199999999999998</v>
      </c>
    </row>
    <row r="10" spans="1:4" x14ac:dyDescent="0.2">
      <c r="A10" t="s">
        <v>294</v>
      </c>
      <c r="B10" t="str">
        <f>VLOOKUP(A10,[1]Sheet2!$D$2:$E$193,2,0)</f>
        <v>تجديد ترخيص مزاولة مهنة الصيدلة</v>
      </c>
      <c r="C10">
        <v>15</v>
      </c>
      <c r="D10" s="151">
        <v>0.93300000000000005</v>
      </c>
    </row>
    <row r="11" spans="1:4" x14ac:dyDescent="0.2">
      <c r="A11" t="s">
        <v>295</v>
      </c>
      <c r="B11" t="str">
        <f>VLOOKUP(A11,[1]Sheet2!$D$2:$E$193,2,0)</f>
        <v>تصديق الإجازات والتقارير الطبية</v>
      </c>
      <c r="C11">
        <v>2005</v>
      </c>
      <c r="D11" s="151">
        <v>0.93100000000000005</v>
      </c>
    </row>
    <row r="12" spans="1:4" x14ac:dyDescent="0.2">
      <c r="A12" t="s">
        <v>296</v>
      </c>
      <c r="B12" t="str">
        <f>VLOOKUP(A12,[1]Sheet2!$D$2:$E$193,2,0)</f>
        <v>تجديد ترخيص مؤسسة صيدلانية</v>
      </c>
      <c r="C12">
        <v>7</v>
      </c>
      <c r="D12" s="151">
        <v>0.85699999999999998</v>
      </c>
    </row>
  </sheetData>
  <autoFilter ref="A1:D12" xr:uid="{1FD9DA8B-ECB0-4B75-B268-A45FF401BB5C}">
    <sortState xmlns:xlrd2="http://schemas.microsoft.com/office/spreadsheetml/2017/richdata2" ref="A2:D12">
      <sortCondition descending="1" ref="D1:D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Summary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Malk</dc:creator>
  <cp:lastModifiedBy>neelanjan mazumder</cp:lastModifiedBy>
  <dcterms:created xsi:type="dcterms:W3CDTF">2026-04-13T08:24:33Z</dcterms:created>
  <dcterms:modified xsi:type="dcterms:W3CDTF">2026-06-14T15:13:37Z</dcterms:modified>
</cp:coreProperties>
</file>